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https://d.docs.live.net/7ECC6771174CA53A/"/>
    </mc:Choice>
  </mc:AlternateContent>
  <xr:revisionPtr revIDLastSave="357" documentId="11_E60897F41BE170836B02CE998F75CCDC64E183C8" xr6:coauthVersionLast="47" xr6:coauthVersionMax="47" xr10:uidLastSave="{A39EB210-FA4B-4B16-AC12-F80F38DDCDE4}"/>
  <bookViews>
    <workbookView xWindow="-110" yWindow="-110" windowWidth="19420" windowHeight="10300" activeTab="2" xr2:uid="{00000000-000D-0000-FFFF-FFFF00000000}"/>
  </bookViews>
  <sheets>
    <sheet name="copy of data" sheetId="1" r:id="rId1"/>
    <sheet name="Sheet5" sheetId="8" r:id="rId2"/>
    <sheet name="Sheet7" sheetId="10" r:id="rId3"/>
    <sheet name="Sheet1" sheetId="4" r:id="rId4"/>
    <sheet name="vlookup" sheetId="2" r:id="rId5"/>
    <sheet name="frequency table" sheetId="3" r:id="rId6"/>
  </sheets>
  <definedNames>
    <definedName name="_xlnm._FilterDatabase" localSheetId="0" hidden="1">'copy of data'!$A$1:$K$31</definedName>
    <definedName name="Slicer_Children">#N/A</definedName>
    <definedName name="Slicer_Gender">#N/A</definedName>
    <definedName name="Slicer_GenderCode">#N/A</definedName>
    <definedName name="Slicer_Opinion">#N/A</definedName>
    <definedName name="Slicer_Person">#N/A</definedName>
    <definedName name="Slicer_Salary">#N/A</definedName>
    <definedName name="Slicer_State">#N/A</definedName>
  </definedNames>
  <calcPr calcId="191028"/>
  <pivotCaches>
    <pivotCache cacheId="26"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4" l="1"/>
  <c r="E32" i="4"/>
  <c r="D32" i="4"/>
  <c r="F32" i="4"/>
  <c r="B32" i="4"/>
  <c r="G32" i="4"/>
  <c r="H10" i="4"/>
  <c r="H3" i="4"/>
  <c r="H2" i="4"/>
  <c r="H4" i="4"/>
  <c r="H5" i="4"/>
  <c r="H6" i="4"/>
  <c r="H7" i="4"/>
  <c r="H8" i="4"/>
  <c r="H9" i="4"/>
  <c r="H11" i="4"/>
  <c r="H12" i="4"/>
  <c r="H13" i="4"/>
  <c r="H14" i="4"/>
  <c r="H15" i="4"/>
  <c r="H16" i="4"/>
  <c r="H17" i="4"/>
  <c r="H18" i="4"/>
  <c r="H19" i="4"/>
  <c r="H20" i="4"/>
  <c r="H21" i="4"/>
  <c r="H22" i="4"/>
  <c r="H23" i="4"/>
  <c r="H24" i="4"/>
  <c r="H25" i="4"/>
  <c r="H26" i="4"/>
  <c r="H27" i="4"/>
  <c r="H28" i="4"/>
  <c r="H29" i="4"/>
  <c r="H30" i="4"/>
  <c r="H31" i="4"/>
  <c r="C2" i="1"/>
  <c r="F2" i="1"/>
  <c r="B10" i="3"/>
  <c r="C3" i="1"/>
  <c r="M11" i="1"/>
  <c r="M10" i="1"/>
  <c r="M8" i="1"/>
  <c r="M7" i="1"/>
  <c r="M6" i="1"/>
  <c r="M2" i="1"/>
  <c r="M3" i="1"/>
  <c r="M4" i="1" a="1"/>
  <c r="M4" i="1"/>
  <c r="B8" i="3"/>
  <c r="B9" i="3"/>
  <c r="B7" i="3"/>
  <c r="C3" i="3"/>
  <c r="C2" i="3"/>
  <c r="B6" i="3"/>
  <c r="B3" i="3"/>
  <c r="B2" i="3"/>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2"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H3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zach132345@gmail.com</author>
  </authors>
  <commentList>
    <comment ref="K1" authorId="0" shapeId="0" xr:uid="{494FB766-BB53-477D-BA54-29F5BFB36151}">
      <text>
        <r>
          <rPr>
            <sz val="11"/>
            <color theme="1"/>
            <rFont val="Calibri"/>
            <family val="2"/>
            <scheme val="minor"/>
          </rPr>
          <t>zach132345@gmail.com:
Meaning of 5-point scale:
1 - strongly disagree
2 - disagree
3 - neutral
4 - agree
5 - strongly agree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zach132345@gmail.com</author>
  </authors>
  <commentList>
    <comment ref="G1" authorId="0" shapeId="0" xr:uid="{6384B6B3-3B23-41F1-BD45-6BBCD5319946}">
      <text>
        <r>
          <rPr>
            <sz val="11"/>
            <color theme="1"/>
            <rFont val="Calibri"/>
            <family val="2"/>
            <scheme val="minor"/>
          </rPr>
          <t>zach132345@gmail.com:
Meaning of 5-point scale:
1 - strongly disagree
2 - disagree
3 - neutral
4 - agree
5 - strongly agree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<sst xmlns="http://schemas.openxmlformats.org/spreadsheetml/2006/main" count="192" uniqueCount="49">
  <si>
    <t>Person</t>
  </si>
  <si>
    <t>Age</t>
  </si>
  <si>
    <t>Binned Age</t>
  </si>
  <si>
    <t>Vlookup Age</t>
  </si>
  <si>
    <t>Gender</t>
  </si>
  <si>
    <t>Coded Gender</t>
  </si>
  <si>
    <t>vlookup gender</t>
  </si>
  <si>
    <t>State</t>
  </si>
  <si>
    <t>Children</t>
  </si>
  <si>
    <t>Salary</t>
  </si>
  <si>
    <t>Opinion</t>
  </si>
  <si>
    <t>existing excel formula</t>
  </si>
  <si>
    <t>Male</t>
  </si>
  <si>
    <t>Minnesota</t>
  </si>
  <si>
    <t>avg. age</t>
  </si>
  <si>
    <t>Female</t>
  </si>
  <si>
    <t>Texas</t>
  </si>
  <si>
    <t>median</t>
  </si>
  <si>
    <t>Ohio</t>
  </si>
  <si>
    <t>mode</t>
  </si>
  <si>
    <t>Florida</t>
  </si>
  <si>
    <t>California</t>
  </si>
  <si>
    <t>max</t>
  </si>
  <si>
    <t>New York</t>
  </si>
  <si>
    <t>min</t>
  </si>
  <si>
    <t>range</t>
  </si>
  <si>
    <t>variation</t>
  </si>
  <si>
    <t>standard deviation</t>
  </si>
  <si>
    <t>Virginia</t>
  </si>
  <si>
    <t>Illinois</t>
  </si>
  <si>
    <t>Michigan</t>
  </si>
  <si>
    <t>Arizona</t>
  </si>
  <si>
    <t>Vlookup</t>
  </si>
  <si>
    <t>Young</t>
  </si>
  <si>
    <t>Middle-aged</t>
  </si>
  <si>
    <t>Elderly</t>
  </si>
  <si>
    <t>Frequency</t>
  </si>
  <si>
    <t>Frequency1</t>
  </si>
  <si>
    <t>Frequency (%)</t>
  </si>
  <si>
    <t xml:space="preserve">Female </t>
  </si>
  <si>
    <t>GenderCode</t>
  </si>
  <si>
    <t>Total</t>
  </si>
  <si>
    <t>Sum of Salary</t>
  </si>
  <si>
    <t>Column Labels</t>
  </si>
  <si>
    <t>Row Labels</t>
  </si>
  <si>
    <t>Grand Total</t>
  </si>
  <si>
    <t>Sum of Age</t>
  </si>
  <si>
    <t>Count of Person</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</si>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</sst>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numFmt numFmtId="0" formatCode="General"/>
    </dxf>
    <dxf>
      <numFmt numFmtId="10" formatCode="&quot;$&quot;#,##0_);[Red]\(&quot;$&quot;#,##0\)"/>
    </dxf>
    <dxf>
      <numFmt numFmtId="10" formatCode="&quot;$&quot;#,##0_);[Red]\(&quot;$&quot;#,##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Ques Text File.xlsx]Sheet7!PivotTable12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Sum of Age</c:v>
                </c:pt>
              </c:strCache>
            </c:strRef>
          </c:tx>
          <c:spPr>
            <a:solidFill>
              <a:schemeClr val="accent1"/>
            </a:solidFill>
            <a:ln>
              <a:noFill/>
            </a:ln>
            <a:effectLst/>
          </c:spPr>
          <c:invertIfNegative val="0"/>
          <c:cat>
            <c:strRef>
              <c:f>Sheet7!$A$2:$A$4</c:f>
              <c:strCache>
                <c:ptCount val="2"/>
                <c:pt idx="0">
                  <c:v>Female</c:v>
                </c:pt>
                <c:pt idx="1">
                  <c:v>Male</c:v>
                </c:pt>
              </c:strCache>
            </c:strRef>
          </c:cat>
          <c:val>
            <c:numRef>
              <c:f>Sheet7!$B$2:$B$4</c:f>
              <c:numCache>
                <c:formatCode>General</c:formatCode>
                <c:ptCount val="2"/>
                <c:pt idx="0">
                  <c:v>504</c:v>
                </c:pt>
                <c:pt idx="1">
                  <c:v>773</c:v>
                </c:pt>
              </c:numCache>
            </c:numRef>
          </c:val>
          <c:extLst>
            <c:ext xmlns:c16="http://schemas.microsoft.com/office/drawing/2014/chart" uri="{C3380CC4-5D6E-409C-BE32-E72D297353CC}">
              <c16:uniqueId val="{00000000-6ADB-430F-947F-AC5F3891C17A}"/>
            </c:ext>
          </c:extLst>
        </c:ser>
        <c:ser>
          <c:idx val="1"/>
          <c:order val="1"/>
          <c:tx>
            <c:strRef>
              <c:f>Sheet7!$C$1</c:f>
              <c:strCache>
                <c:ptCount val="1"/>
                <c:pt idx="0">
                  <c:v>Sum of Salary</c:v>
                </c:pt>
              </c:strCache>
            </c:strRef>
          </c:tx>
          <c:spPr>
            <a:solidFill>
              <a:schemeClr val="accent2"/>
            </a:solidFill>
            <a:ln>
              <a:noFill/>
            </a:ln>
            <a:effectLst/>
          </c:spPr>
          <c:invertIfNegative val="0"/>
          <c:cat>
            <c:strRef>
              <c:f>Sheet7!$A$2:$A$4</c:f>
              <c:strCache>
                <c:ptCount val="2"/>
                <c:pt idx="0">
                  <c:v>Female</c:v>
                </c:pt>
                <c:pt idx="1">
                  <c:v>Male</c:v>
                </c:pt>
              </c:strCache>
            </c:strRef>
          </c:cat>
          <c:val>
            <c:numRef>
              <c:f>Sheet7!$C$2:$C$4</c:f>
              <c:numCache>
                <c:formatCode>"$"#,##0_);[Red]\("$"#,##0\)</c:formatCode>
                <c:ptCount val="2"/>
                <c:pt idx="0">
                  <c:v>627700</c:v>
                </c:pt>
                <c:pt idx="1">
                  <c:v>940200</c:v>
                </c:pt>
              </c:numCache>
            </c:numRef>
          </c:val>
          <c:extLst>
            <c:ext xmlns:c16="http://schemas.microsoft.com/office/drawing/2014/chart" uri="{C3380CC4-5D6E-409C-BE32-E72D297353CC}">
              <c16:uniqueId val="{00000002-6ADB-430F-947F-AC5F3891C17A}"/>
            </c:ext>
          </c:extLst>
        </c:ser>
        <c:dLbls>
          <c:showLegendKey val="0"/>
          <c:showVal val="0"/>
          <c:showCatName val="0"/>
          <c:showSerName val="0"/>
          <c:showPercent val="0"/>
          <c:showBubbleSize val="0"/>
        </c:dLbls>
        <c:gapWidth val="219"/>
        <c:overlap val="-27"/>
        <c:axId val="1543733759"/>
        <c:axId val="1543734239"/>
      </c:barChart>
      <c:catAx>
        <c:axId val="154373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734239"/>
        <c:crosses val="autoZero"/>
        <c:auto val="1"/>
        <c:lblAlgn val="ctr"/>
        <c:lblOffset val="100"/>
        <c:noMultiLvlLbl val="0"/>
      </c:catAx>
      <c:valAx>
        <c:axId val="154373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73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8EEC17E9-F8E5-DFD5-BA51-9DE6C2972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590550</xdr:colOff>
      <xdr:row>0</xdr:row>
      <xdr:rowOff>165100</xdr:rowOff>
    </xdr:from>
    <xdr:to>
      <xdr:col>12</xdr:col>
      <xdr:colOff>6350</xdr:colOff>
      <xdr:row>11</xdr:row>
      <xdr:rowOff>177800</xdr:rowOff>
    </xdr:to>
    <mc:AlternateContent xmlns:mc="http://schemas.openxmlformats.org/markup-compatibility/2006">
      <mc:Choice xmlns:sle15="http://schemas.microsoft.com/office/drawing/2012/slicer" Requires="sle15">
        <xdr:graphicFrame macro="">
          <xdr:nvGraphicFramePr>
            <xdr:cNvPr id="2" name="Person">
              <a:extLst>
                <a:ext uri="{FF2B5EF4-FFF2-40B4-BE49-F238E27FC236}">
                  <a16:creationId xmlns:a16="http://schemas.microsoft.com/office/drawing/2014/main" id="{E2177871-2AEF-03AF-7D16-0C5DBEA26B3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6691530" y="165100"/>
              <a:ext cx="1856193" cy="206711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527050</xdr:colOff>
      <xdr:row>0</xdr:row>
      <xdr:rowOff>177800</xdr:rowOff>
    </xdr:from>
    <xdr:to>
      <xdr:col>15</xdr:col>
      <xdr:colOff>527050</xdr:colOff>
      <xdr:row>14</xdr:row>
      <xdr:rowOff>123825</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78EC9F11-7114-2970-57A6-F866047C32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068423" y="177800"/>
              <a:ext cx="1830294" cy="25607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527050</xdr:colOff>
      <xdr:row>5</xdr:row>
      <xdr:rowOff>158750</xdr:rowOff>
    </xdr:from>
    <xdr:to>
      <xdr:col>15</xdr:col>
      <xdr:colOff>527050</xdr:colOff>
      <xdr:row>18</xdr:row>
      <xdr:rowOff>168275</xdr:rowOff>
    </xdr:to>
    <mc:AlternateContent xmlns:mc="http://schemas.openxmlformats.org/markup-compatibility/2006">
      <mc:Choice xmlns:sle15="http://schemas.microsoft.com/office/drawing/2012/slicer" Requires="sle15">
        <xdr:graphicFrame macro="">
          <xdr:nvGraphicFramePr>
            <xdr:cNvPr id="5" name="State">
              <a:extLst>
                <a:ext uri="{FF2B5EF4-FFF2-40B4-BE49-F238E27FC236}">
                  <a16:creationId xmlns:a16="http://schemas.microsoft.com/office/drawing/2014/main" id="{80B58B86-3732-CF77-6E62-C9C660F44CD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068423" y="1092574"/>
              <a:ext cx="1830294" cy="24374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527050</xdr:colOff>
      <xdr:row>18</xdr:row>
      <xdr:rowOff>152401</xdr:rowOff>
    </xdr:from>
    <xdr:to>
      <xdr:col>15</xdr:col>
      <xdr:colOff>527050</xdr:colOff>
      <xdr:row>27</xdr:row>
      <xdr:rowOff>63501</xdr:rowOff>
    </xdr:to>
    <mc:AlternateContent xmlns:mc="http://schemas.openxmlformats.org/markup-compatibility/2006">
      <mc:Choice xmlns:sle15="http://schemas.microsoft.com/office/drawing/2012/slicer" Requires="sle15">
        <xdr:graphicFrame macro="">
          <xdr:nvGraphicFramePr>
            <xdr:cNvPr id="6" name="Children">
              <a:extLst>
                <a:ext uri="{FF2B5EF4-FFF2-40B4-BE49-F238E27FC236}">
                  <a16:creationId xmlns:a16="http://schemas.microsoft.com/office/drawing/2014/main" id="{E0ED27B9-B117-C915-FF53-B80819ADD07D}"/>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9068423" y="3514166"/>
              <a:ext cx="1830294" cy="15919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596900</xdr:colOff>
      <xdr:row>11</xdr:row>
      <xdr:rowOff>177800</xdr:rowOff>
    </xdr:from>
    <xdr:to>
      <xdr:col>11</xdr:col>
      <xdr:colOff>596900</xdr:colOff>
      <xdr:row>22</xdr:row>
      <xdr:rowOff>104775</xdr:rowOff>
    </xdr:to>
    <mc:AlternateContent xmlns:mc="http://schemas.openxmlformats.org/markup-compatibility/2006">
      <mc:Choice xmlns:sle15="http://schemas.microsoft.com/office/drawing/2012/slicer" Requires="sle15">
        <xdr:graphicFrame macro="">
          <xdr:nvGraphicFramePr>
            <xdr:cNvPr id="7" name="Salary">
              <a:extLst>
                <a:ext uri="{FF2B5EF4-FFF2-40B4-BE49-F238E27FC236}">
                  <a16:creationId xmlns:a16="http://schemas.microsoft.com/office/drawing/2014/main" id="{F274629C-02FA-9190-E25D-C2D3D5243F6E}"/>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6697880" y="2232212"/>
              <a:ext cx="1830295" cy="198138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603250</xdr:colOff>
      <xdr:row>22</xdr:row>
      <xdr:rowOff>114300</xdr:rowOff>
    </xdr:from>
    <xdr:to>
      <xdr:col>11</xdr:col>
      <xdr:colOff>603250</xdr:colOff>
      <xdr:row>36</xdr:row>
      <xdr:rowOff>60325</xdr:rowOff>
    </xdr:to>
    <mc:AlternateContent xmlns:mc="http://schemas.openxmlformats.org/markup-compatibility/2006">
      <mc:Choice xmlns:sle15="http://schemas.microsoft.com/office/drawing/2012/slicer" Requires="sle15">
        <xdr:graphicFrame macro="">
          <xdr:nvGraphicFramePr>
            <xdr:cNvPr id="8" name="Opinion">
              <a:extLst>
                <a:ext uri="{FF2B5EF4-FFF2-40B4-BE49-F238E27FC236}">
                  <a16:creationId xmlns:a16="http://schemas.microsoft.com/office/drawing/2014/main" id="{B600194E-4AFE-A965-8B92-0F403B665BFF}"/>
                </a:ext>
              </a:extLst>
            </xdr:cNvPr>
            <xdr:cNvGraphicFramePr/>
          </xdr:nvGraphicFramePr>
          <xdr:xfrm>
            <a:off x="0" y="0"/>
            <a:ext cx="0" cy="0"/>
          </xdr:xfrm>
          <a:graphic>
            <a:graphicData uri="http://schemas.microsoft.com/office/drawing/2010/slicer">
              <sle:slicer xmlns:sle="http://schemas.microsoft.com/office/drawing/2010/slicer" name="Opinion"/>
            </a:graphicData>
          </a:graphic>
        </xdr:graphicFrame>
      </mc:Choice>
      <mc:Fallback>
        <xdr:sp macro="" textlink="">
          <xdr:nvSpPr>
            <xdr:cNvPr id="0" name=""/>
            <xdr:cNvSpPr>
              <a:spLocks noTextEdit="1"/>
            </xdr:cNvSpPr>
          </xdr:nvSpPr>
          <xdr:spPr>
            <a:xfrm>
              <a:off x="6704230" y="4223124"/>
              <a:ext cx="1830295" cy="25607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596900</xdr:colOff>
      <xdr:row>31</xdr:row>
      <xdr:rowOff>146050</xdr:rowOff>
    </xdr:from>
    <xdr:to>
      <xdr:col>11</xdr:col>
      <xdr:colOff>596900</xdr:colOff>
      <xdr:row>41</xdr:row>
      <xdr:rowOff>60325</xdr:rowOff>
    </xdr:to>
    <mc:AlternateContent xmlns:mc="http://schemas.openxmlformats.org/markup-compatibility/2006">
      <mc:Choice xmlns:sle15="http://schemas.microsoft.com/office/drawing/2012/slicer" Requires="sle15">
        <xdr:graphicFrame macro="">
          <xdr:nvGraphicFramePr>
            <xdr:cNvPr id="9" name="GenderCode">
              <a:extLst>
                <a:ext uri="{FF2B5EF4-FFF2-40B4-BE49-F238E27FC236}">
                  <a16:creationId xmlns:a16="http://schemas.microsoft.com/office/drawing/2014/main" id="{A9B450A7-25B5-A263-1DF8-CD9CCB5D77BE}"/>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dr:sp macro="" textlink="">
          <xdr:nvSpPr>
            <xdr:cNvPr id="0" name=""/>
            <xdr:cNvSpPr>
              <a:spLocks noTextEdit="1"/>
            </xdr:cNvSpPr>
          </xdr:nvSpPr>
          <xdr:spPr>
            <a:xfrm>
              <a:off x="6697880" y="5935756"/>
              <a:ext cx="1830295" cy="178192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0.611424537034" createdVersion="8" refreshedVersion="8" minRefreshableVersion="3" recordCount="30" xr:uid="{F3D53B0C-82F4-4B6F-A567-DD7F9CFFCF35}">
  <cacheSource type="worksheet">
    <worksheetSource name="Table1"/>
  </cacheSource>
  <cacheFields count="8">
    <cacheField name="Person" numFmtId="0">
      <sharedItems containsSemiMixedTypes="0" containsString="0" containsNumber="1" containsInteger="1" minValue="1" maxValue="30"/>
    </cacheField>
    <cacheField name="Age" numFmtId="0">
      <sharedItems containsSemiMixedTypes="0" containsString="0" containsNumber="1" containsInteger="1" minValue="21" maxValue="65"/>
    </cacheField>
    <cacheField name="Gender" numFmtId="0">
      <sharedItems count="2">
        <s v="Male"/>
        <s v="Female"/>
      </sharedItems>
    </cacheField>
    <cacheField name="State" numFmtId="0">
      <sharedItems/>
    </cacheField>
    <cacheField name="Children" numFmtId="0">
      <sharedItems containsSemiMixedTypes="0" containsString="0" containsNumber="1" containsInteger="1" minValue="0" maxValue="3"/>
    </cacheField>
    <cacheField name="Salary" numFmtId="6">
      <sharedItems containsSemiMixedTypes="0" containsString="0" containsNumber="1" containsInteger="1" minValue="31000" maxValue="81400"/>
    </cacheField>
    <cacheField name="Opinion" numFmtId="0">
      <sharedItems containsSemiMixedTypes="0" containsString="0" containsNumber="1" containsInteger="1" minValue="1" maxValue="5" count="5">
        <n v="5"/>
        <n v="1"/>
        <n v="3"/>
        <n v="4"/>
        <n v="2"/>
      </sharedItems>
    </cacheField>
    <cacheField name="GenderCod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35"/>
    <x v="0"/>
    <s v="Minnesota"/>
    <n v="1"/>
    <n v="65400"/>
    <x v="0"/>
    <x v="0"/>
  </r>
  <r>
    <n v="2"/>
    <n v="61"/>
    <x v="1"/>
    <s v="Texas"/>
    <n v="2"/>
    <n v="62000"/>
    <x v="1"/>
    <x v="1"/>
  </r>
  <r>
    <n v="3"/>
    <n v="35"/>
    <x v="0"/>
    <s v="Ohio"/>
    <n v="0"/>
    <n v="63200"/>
    <x v="2"/>
    <x v="0"/>
  </r>
  <r>
    <n v="4"/>
    <n v="37"/>
    <x v="0"/>
    <s v="Florida"/>
    <n v="2"/>
    <n v="52000"/>
    <x v="0"/>
    <x v="0"/>
  </r>
  <r>
    <n v="5"/>
    <n v="32"/>
    <x v="1"/>
    <s v="California"/>
    <n v="3"/>
    <n v="81400"/>
    <x v="1"/>
    <x v="1"/>
  </r>
  <r>
    <n v="6"/>
    <n v="33"/>
    <x v="1"/>
    <s v="New York"/>
    <n v="3"/>
    <n v="46300"/>
    <x v="0"/>
    <x v="1"/>
  </r>
  <r>
    <n v="7"/>
    <n v="65"/>
    <x v="1"/>
    <s v="Minnesota"/>
    <n v="2"/>
    <n v="49600"/>
    <x v="1"/>
    <x v="1"/>
  </r>
  <r>
    <n v="8"/>
    <n v="45"/>
    <x v="0"/>
    <s v="New York"/>
    <n v="1"/>
    <n v="45900"/>
    <x v="0"/>
    <x v="0"/>
  </r>
  <r>
    <n v="9"/>
    <n v="40"/>
    <x v="0"/>
    <s v="Texas"/>
    <n v="3"/>
    <n v="47700"/>
    <x v="3"/>
    <x v="0"/>
  </r>
  <r>
    <n v="10"/>
    <n v="32"/>
    <x v="1"/>
    <s v="Texas"/>
    <n v="1"/>
    <n v="59900"/>
    <x v="3"/>
    <x v="1"/>
  </r>
  <r>
    <n v="11"/>
    <n v="57"/>
    <x v="0"/>
    <s v="New York"/>
    <n v="1"/>
    <n v="48100"/>
    <x v="3"/>
    <x v="0"/>
  </r>
  <r>
    <n v="12"/>
    <n v="38"/>
    <x v="1"/>
    <s v="Virginia"/>
    <n v="0"/>
    <n v="58100"/>
    <x v="2"/>
    <x v="1"/>
  </r>
  <r>
    <n v="13"/>
    <n v="37"/>
    <x v="1"/>
    <s v="Illinois"/>
    <n v="2"/>
    <n v="56000"/>
    <x v="1"/>
    <x v="1"/>
  </r>
  <r>
    <n v="14"/>
    <n v="42"/>
    <x v="1"/>
    <s v="Virginia"/>
    <n v="2"/>
    <n v="53400"/>
    <x v="1"/>
    <x v="1"/>
  </r>
  <r>
    <n v="15"/>
    <n v="38"/>
    <x v="1"/>
    <s v="New York"/>
    <n v="2"/>
    <n v="39000"/>
    <x v="4"/>
    <x v="1"/>
  </r>
  <r>
    <n v="16"/>
    <n v="48"/>
    <x v="0"/>
    <s v="Michigan"/>
    <n v="1"/>
    <n v="61500"/>
    <x v="4"/>
    <x v="0"/>
  </r>
  <r>
    <n v="17"/>
    <n v="40"/>
    <x v="0"/>
    <s v="Ohio"/>
    <n v="0"/>
    <n v="37700"/>
    <x v="1"/>
    <x v="0"/>
  </r>
  <r>
    <n v="18"/>
    <n v="57"/>
    <x v="1"/>
    <s v="Michigan"/>
    <n v="2"/>
    <n v="36700"/>
    <x v="3"/>
    <x v="1"/>
  </r>
  <r>
    <n v="19"/>
    <n v="44"/>
    <x v="0"/>
    <s v="Florida"/>
    <n v="2"/>
    <n v="45200"/>
    <x v="2"/>
    <x v="0"/>
  </r>
  <r>
    <n v="20"/>
    <n v="40"/>
    <x v="0"/>
    <s v="Michigan"/>
    <n v="0"/>
    <n v="59000"/>
    <x v="3"/>
    <x v="0"/>
  </r>
  <r>
    <n v="21"/>
    <n v="21"/>
    <x v="1"/>
    <s v="Minnesota"/>
    <n v="2"/>
    <n v="54300"/>
    <x v="4"/>
    <x v="1"/>
  </r>
  <r>
    <n v="22"/>
    <n v="49"/>
    <x v="0"/>
    <s v="New York"/>
    <n v="1"/>
    <n v="62100"/>
    <x v="3"/>
    <x v="0"/>
  </r>
  <r>
    <n v="23"/>
    <n v="34"/>
    <x v="0"/>
    <s v="New York"/>
    <n v="0"/>
    <n v="78000"/>
    <x v="2"/>
    <x v="0"/>
  </r>
  <r>
    <n v="24"/>
    <n v="49"/>
    <x v="0"/>
    <s v="Arizona"/>
    <n v="0"/>
    <n v="43200"/>
    <x v="0"/>
    <x v="0"/>
  </r>
  <r>
    <n v="25"/>
    <n v="40"/>
    <x v="0"/>
    <s v="Arizona"/>
    <n v="1"/>
    <n v="44500"/>
    <x v="2"/>
    <x v="0"/>
  </r>
  <r>
    <n v="26"/>
    <n v="38"/>
    <x v="0"/>
    <s v="Ohio"/>
    <n v="1"/>
    <n v="43300"/>
    <x v="1"/>
    <x v="0"/>
  </r>
  <r>
    <n v="27"/>
    <n v="27"/>
    <x v="0"/>
    <s v="Illinois"/>
    <n v="3"/>
    <n v="45400"/>
    <x v="4"/>
    <x v="0"/>
  </r>
  <r>
    <n v="28"/>
    <n v="63"/>
    <x v="0"/>
    <s v="Michigan"/>
    <n v="2"/>
    <n v="53900"/>
    <x v="1"/>
    <x v="0"/>
  </r>
  <r>
    <n v="29"/>
    <n v="52"/>
    <x v="0"/>
    <s v="California"/>
    <n v="1"/>
    <n v="44100"/>
    <x v="2"/>
    <x v="0"/>
  </r>
  <r>
    <n v="30"/>
    <n v="48"/>
    <x v="1"/>
    <s v="New York"/>
    <n v="2"/>
    <n v="3100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2EA551-104B-450B-BC3C-2AE183F55F88}"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E16" firstHeaderRow="1" firstDataRow="1" firstDataCol="1"/>
  <pivotFields count="8">
    <pivotField showAll="0"/>
    <pivotField showAll="0"/>
    <pivotField axis="axisRow" showAll="0">
      <items count="3">
        <item x="1"/>
        <item x="0"/>
        <item t="default"/>
      </items>
    </pivotField>
    <pivotField showAll="0"/>
    <pivotField showAll="0"/>
    <pivotField dataField="1" numFmtId="6" showAll="0"/>
    <pivotField showAll="0">
      <items count="6">
        <item x="1"/>
        <item x="4"/>
        <item x="2"/>
        <item x="3"/>
        <item x="0"/>
        <item t="default"/>
      </items>
    </pivotField>
    <pivotField showAll="0">
      <items count="3">
        <item x="1"/>
        <item x="0"/>
        <item t="default"/>
      </items>
    </pivotField>
  </pivotFields>
  <rowFields count="1">
    <field x="2"/>
  </rowFields>
  <rowItems count="3">
    <i>
      <x/>
    </i>
    <i>
      <x v="1"/>
    </i>
    <i t="grand">
      <x/>
    </i>
  </rowItems>
  <colItems count="1">
    <i/>
  </colItems>
  <dataFields count="1">
    <dataField name="Sum of Salary" fld="5" baseField="2" baseItem="0" numFmtId="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315827-C06B-4EEB-A089-A546837AA4ED}"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6" firstHeaderRow="1" firstDataRow="1" firstDataCol="1"/>
  <pivotFields count="8">
    <pivotField showAll="0"/>
    <pivotField showAll="0"/>
    <pivotField axis="axisRow" showAll="0">
      <items count="3">
        <item x="1"/>
        <item x="0"/>
        <item t="default"/>
      </items>
    </pivotField>
    <pivotField showAll="0"/>
    <pivotField showAll="0"/>
    <pivotField dataField="1" numFmtId="6" showAll="0"/>
    <pivotField showAll="0">
      <items count="6">
        <item x="1"/>
        <item x="4"/>
        <item x="2"/>
        <item x="3"/>
        <item x="0"/>
        <item t="default"/>
      </items>
    </pivotField>
    <pivotField showAll="0">
      <items count="3">
        <item x="1"/>
        <item x="0"/>
        <item t="default"/>
      </items>
    </pivotField>
  </pivotFields>
  <rowFields count="1">
    <field x="2"/>
  </rowFields>
  <rowItems count="3">
    <i>
      <x/>
    </i>
    <i>
      <x v="1"/>
    </i>
    <i t="grand">
      <x/>
    </i>
  </rowItems>
  <colItems count="1">
    <i/>
  </colItems>
  <dataFields count="1">
    <dataField name="Average of Salary" fld="5" subtotal="average" baseField="2" baseItem="0" numFmtId="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75FA33-BEB1-4267-83DE-19A76D9D5A61}"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8">
    <pivotField dataField="1" showAll="0"/>
    <pivotField showAll="0"/>
    <pivotField showAll="0"/>
    <pivotField showAll="0"/>
    <pivotField showAll="0"/>
    <pivotField numFmtId="6" showAll="0"/>
    <pivotField axis="axisRow" showAll="0">
      <items count="6">
        <item x="1"/>
        <item x="4"/>
        <item x="2"/>
        <item x="3"/>
        <item x="0"/>
        <item t="default"/>
      </items>
    </pivotField>
    <pivotField axis="axisCol" showAll="0">
      <items count="3">
        <item x="1"/>
        <item x="0"/>
        <item t="default"/>
      </items>
    </pivotField>
  </pivotFields>
  <rowFields count="1">
    <field x="6"/>
  </rowFields>
  <rowItems count="6">
    <i>
      <x/>
    </i>
    <i>
      <x v="1"/>
    </i>
    <i>
      <x v="2"/>
    </i>
    <i>
      <x v="3"/>
    </i>
    <i>
      <x v="4"/>
    </i>
    <i t="grand">
      <x/>
    </i>
  </rowItems>
  <colFields count="1">
    <field x="7"/>
  </colFields>
  <colItems count="3">
    <i>
      <x/>
    </i>
    <i>
      <x v="1"/>
    </i>
    <i t="grand">
      <x/>
    </i>
  </colItems>
  <dataFields count="1">
    <dataField name="Count of Person"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0FAA85-5569-41B2-8ED0-68F3B948E025}"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4" firstHeaderRow="0" firstDataRow="1" firstDataCol="1"/>
  <pivotFields count="8">
    <pivotField showAll="0"/>
    <pivotField dataField="1" showAll="0"/>
    <pivotField axis="axisRow" showAll="0">
      <items count="3">
        <item x="1"/>
        <item x="0"/>
        <item t="default"/>
      </items>
    </pivotField>
    <pivotField showAll="0"/>
    <pivotField showAll="0"/>
    <pivotField dataField="1" numFmtId="6" showAll="0"/>
    <pivotField showAll="0"/>
    <pivotField showAll="0"/>
  </pivotFields>
  <rowFields count="1">
    <field x="2"/>
  </rowFields>
  <rowItems count="3">
    <i>
      <x/>
    </i>
    <i>
      <x v="1"/>
    </i>
    <i t="grand">
      <x/>
    </i>
  </rowItems>
  <colFields count="1">
    <field x="-2"/>
  </colFields>
  <colItems count="2">
    <i>
      <x/>
    </i>
    <i i="1">
      <x v="1"/>
    </i>
  </colItems>
  <dataFields count="2">
    <dataField name="Sum of Age" fld="1" baseField="0" baseItem="0"/>
    <dataField name="Sum of Salary" fld="5" baseField="0" baseItem="0" numFmtId="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32A3B314-F5D6-4C9A-AFFA-42ED822766D4}" sourceName="Person">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DB5A87-300A-44D4-B150-64B3D3D188B5}" sourceName="Gende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C7EC202-F192-44C3-A824-4F2D86D9CF7B}" sourceName="State">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65E82C4F-A0AF-400B-9539-6937A5294DB5}" sourceName="Children">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44A2F63D-5962-4579-9C1D-86EF3EEB6FEF}" sourceName="Salary">
  <extLst>
    <x:ext xmlns:x15="http://schemas.microsoft.com/office/spreadsheetml/2010/11/main" uri="{2F2917AC-EB37-4324-AD4E-5DD8C200BD13}">
      <x15:tableSlicerCache tableId="1" column="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inion" xr10:uid="{22935E7D-D42A-47B8-BAAD-0557B96D34F8}" sourceName="Opinion">
  <extLst>
    <x:ext xmlns:x15="http://schemas.microsoft.com/office/spreadsheetml/2010/11/main" uri="{2F2917AC-EB37-4324-AD4E-5DD8C200BD13}">
      <x15:tableSlicerCache tableId="1" column="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DFD3247D-11E9-467F-905C-E8B5D39E4B7F}" sourceName="GenderCode">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58FBF12A-6582-4D02-BED4-61176667FD37}" cache="Slicer_Person" caption="Person" rowHeight="241300"/>
  <slicer name="Gender" xr10:uid="{02C4AD14-DD35-497E-B0B2-46B90259B72E}" cache="Slicer_Gender" caption="Gender" rowHeight="241300"/>
  <slicer name="State" xr10:uid="{9E2DEE58-9C06-4F5A-A40A-433C81D8B201}" cache="Slicer_State" caption="State" rowHeight="241300"/>
  <slicer name="Children" xr10:uid="{17F77846-A05D-4626-8D63-DC0351D5CD9D}" cache="Slicer_Children" caption="Children" rowHeight="241300"/>
  <slicer name="Salary" xr10:uid="{38A51E18-EBCA-4699-B5BF-CB6E08661AA1}" cache="Slicer_Salary" caption="Salary" rowHeight="241300"/>
  <slicer name="Opinion" xr10:uid="{3199559A-5E0B-47C8-8C7F-88FA8E724495}" cache="Slicer_Opinion" caption="Opinion" rowHeight="241300"/>
  <slicer name="GenderCode" xr10:uid="{7BC89F16-596F-4968-A38C-3CD568D2A27E}" cache="Slicer_GenderCode" caption="GenderC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6CBB9F-89F6-46CD-8E6A-C9AFB675DB7F}" name="Table1" displayName="Table1" ref="A1:H32" totalsRowCount="1">
  <autoFilter ref="A1:H31" xr:uid="{7C6CBB9F-89F6-46CD-8E6A-C9AFB675DB7F}"/>
  <tableColumns count="8">
    <tableColumn id="1" xr3:uid="{98907AB3-6A44-4716-A3F2-F51B1F20174C}" name="Person" totalsRowLabel="Total"/>
    <tableColumn id="2" xr3:uid="{9F463C2B-6293-4354-AD40-557EE1B315C0}" name="Age" totalsRowFunction="average"/>
    <tableColumn id="3" xr3:uid="{02B4E79C-7190-46BA-A67F-75B948D87F9F}" name="Gender" totalsRowFunction="count"/>
    <tableColumn id="4" xr3:uid="{8B9E0310-7C2D-4C06-BB5F-52C7841FE3E6}" name="State" totalsRowFunction="count"/>
    <tableColumn id="5" xr3:uid="{E627EF4B-CB4A-4A57-8D35-4E4F951BE26F}" name="Children" totalsRowFunction="sum"/>
    <tableColumn id="6" xr3:uid="{007411C7-333D-4074-84CE-5F6FE8355A0A}" name="Salary" totalsRowFunction="sum" dataDxfId="2" totalsRowDxfId="1"/>
    <tableColumn id="7" xr3:uid="{96186967-01B6-4473-ACBC-8E8112356842}" name="Opinion" totalsRowFunction="average"/>
    <tableColumn id="8" xr3:uid="{9FAB30B6-1662-43AE-BA6F-7480068F1659}" name="GenderCode" totalsRowFunction="sum" dataDxfId="0">
      <calculatedColumnFormula>VLOOKUP(Table1[[#This Row],[Gender]],vlookup!$D$2:$E$3,2)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omments" Target="../comments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workbookViewId="0">
      <selection sqref="A1:K31"/>
    </sheetView>
  </sheetViews>
  <sheetFormatPr defaultRowHeight="14.5" x14ac:dyDescent="0.35"/>
  <cols>
    <col min="3" max="3" width="11.7265625" customWidth="1"/>
    <col min="4" max="4" width="13.453125" bestFit="1" customWidth="1"/>
    <col min="6" max="6" width="12.81640625" customWidth="1"/>
    <col min="7" max="7" width="22.54296875" bestFit="1" customWidth="1"/>
    <col min="12" max="12" width="17.26953125" bestFit="1" customWidth="1"/>
    <col min="13" max="13" width="19.81640625" bestFit="1" customWidth="1"/>
  </cols>
  <sheetData>
    <row r="1" spans="1:13" x14ac:dyDescent="0.35">
      <c r="A1" t="s">
        <v>0</v>
      </c>
      <c r="B1" t="s">
        <v>1</v>
      </c>
      <c r="C1" t="s">
        <v>2</v>
      </c>
      <c r="D1" t="s">
        <v>3</v>
      </c>
      <c r="E1" t="s">
        <v>4</v>
      </c>
      <c r="F1" t="s">
        <v>5</v>
      </c>
      <c r="G1" t="s">
        <v>6</v>
      </c>
      <c r="H1" t="s">
        <v>7</v>
      </c>
      <c r="I1" t="s">
        <v>8</v>
      </c>
      <c r="J1" t="s">
        <v>9</v>
      </c>
      <c r="K1" t="s">
        <v>10</v>
      </c>
      <c r="M1" t="s">
        <v>11</v>
      </c>
    </row>
    <row r="2" spans="1:13" x14ac:dyDescent="0.35">
      <c r="A2">
        <v>1</v>
      </c>
      <c r="B2">
        <v>35</v>
      </c>
      <c r="C2" t="str">
        <f t="shared" ref="C2:C31" si="0">IF(B2&lt;=34,"young", IF(B2&lt;=59,"middle-aged","elderly"))</f>
        <v>middle-aged</v>
      </c>
      <c r="D2" t="str">
        <f>VLOOKUP(B2,vlookup!$A$2:$B$4,2,TRUE)</f>
        <v>Middle-aged</v>
      </c>
      <c r="E2" t="s">
        <v>12</v>
      </c>
      <c r="F2">
        <f t="shared" ref="F2:F31" si="1">IF(E2="Male",1,0)</f>
        <v>1</v>
      </c>
      <c r="G2">
        <f>VLOOKUP(E2,vlookup!$D$2:$E$3,2,FALSE)</f>
        <v>1</v>
      </c>
      <c r="H2" t="s">
        <v>13</v>
      </c>
      <c r="I2">
        <v>1</v>
      </c>
      <c r="J2" s="1">
        <v>65400</v>
      </c>
      <c r="K2">
        <v>5</v>
      </c>
      <c r="L2" t="s">
        <v>14</v>
      </c>
      <c r="M2">
        <f>AVERAGE($B$2:$B$31)</f>
        <v>42.56666666666667</v>
      </c>
    </row>
    <row r="3" spans="1:13" x14ac:dyDescent="0.35">
      <c r="A3">
        <v>2</v>
      </c>
      <c r="B3">
        <v>61</v>
      </c>
      <c r="C3" t="str">
        <f t="shared" si="0"/>
        <v>elderly</v>
      </c>
      <c r="D3" t="str">
        <f>VLOOKUP(B3,vlookup!$A$2:$B$4,2,TRUE)</f>
        <v>Elderly</v>
      </c>
      <c r="E3" t="s">
        <v>15</v>
      </c>
      <c r="F3">
        <f t="shared" si="1"/>
        <v>0</v>
      </c>
      <c r="G3">
        <f>VLOOKUP(E3,vlookup!$D$2:$E$3,2,FALSE)</f>
        <v>0</v>
      </c>
      <c r="H3" t="s">
        <v>16</v>
      </c>
      <c r="I3">
        <v>2</v>
      </c>
      <c r="J3" s="1">
        <v>62000</v>
      </c>
      <c r="K3">
        <v>1</v>
      </c>
      <c r="L3" t="s">
        <v>17</v>
      </c>
      <c r="M3">
        <f>MEDIAN($B$2:$B$31)</f>
        <v>40</v>
      </c>
    </row>
    <row r="4" spans="1:13" x14ac:dyDescent="0.35">
      <c r="A4">
        <v>3</v>
      </c>
      <c r="B4">
        <v>35</v>
      </c>
      <c r="C4" t="str">
        <f t="shared" si="0"/>
        <v>middle-aged</v>
      </c>
      <c r="D4" t="str">
        <f>VLOOKUP(B4,vlookup!$A$2:$B$4,2,TRUE)</f>
        <v>Middle-aged</v>
      </c>
      <c r="E4" t="s">
        <v>12</v>
      </c>
      <c r="F4">
        <f t="shared" si="1"/>
        <v>1</v>
      </c>
      <c r="G4">
        <f>VLOOKUP(E4,vlookup!$D$2:$E$3,2,FALSE)</f>
        <v>1</v>
      </c>
      <c r="H4" t="s">
        <v>18</v>
      </c>
      <c r="I4">
        <v>0</v>
      </c>
      <c r="J4" s="1">
        <v>63200</v>
      </c>
      <c r="K4">
        <v>3</v>
      </c>
      <c r="L4" t="s">
        <v>19</v>
      </c>
      <c r="M4" cm="1">
        <f t="array" ref="M4">_xlfn.MODE.MULT($B$2:$B$31)</f>
        <v>40</v>
      </c>
    </row>
    <row r="5" spans="1:13" x14ac:dyDescent="0.35">
      <c r="A5">
        <v>4</v>
      </c>
      <c r="B5">
        <v>37</v>
      </c>
      <c r="C5" t="str">
        <f t="shared" si="0"/>
        <v>middle-aged</v>
      </c>
      <c r="D5" t="str">
        <f>VLOOKUP(B5,vlookup!$A$2:$B$4,2,TRUE)</f>
        <v>Middle-aged</v>
      </c>
      <c r="E5" t="s">
        <v>12</v>
      </c>
      <c r="F5">
        <f t="shared" si="1"/>
        <v>1</v>
      </c>
      <c r="G5">
        <f>VLOOKUP(E5,vlookup!$D$2:$E$3,2,FALSE)</f>
        <v>1</v>
      </c>
      <c r="H5" t="s">
        <v>20</v>
      </c>
      <c r="I5">
        <v>2</v>
      </c>
      <c r="J5" s="1">
        <v>52000</v>
      </c>
      <c r="K5">
        <v>5</v>
      </c>
    </row>
    <row r="6" spans="1:13" x14ac:dyDescent="0.35">
      <c r="A6">
        <v>5</v>
      </c>
      <c r="B6">
        <v>32</v>
      </c>
      <c r="C6" t="str">
        <f t="shared" si="0"/>
        <v>young</v>
      </c>
      <c r="D6" t="str">
        <f>VLOOKUP(B6,vlookup!$A$2:$B$4,2,TRUE)</f>
        <v>Young</v>
      </c>
      <c r="E6" t="s">
        <v>15</v>
      </c>
      <c r="F6">
        <f t="shared" si="1"/>
        <v>0</v>
      </c>
      <c r="G6">
        <f>VLOOKUP(E6,vlookup!$D$2:$E$3,2,FALSE)</f>
        <v>0</v>
      </c>
      <c r="H6" t="s">
        <v>21</v>
      </c>
      <c r="I6">
        <v>3</v>
      </c>
      <c r="J6" s="1">
        <v>81400</v>
      </c>
      <c r="K6">
        <v>1</v>
      </c>
      <c r="L6" t="s">
        <v>22</v>
      </c>
      <c r="M6">
        <f>MAX($B$2:$B$31)</f>
        <v>65</v>
      </c>
    </row>
    <row r="7" spans="1:13" x14ac:dyDescent="0.35">
      <c r="A7">
        <v>6</v>
      </c>
      <c r="B7">
        <v>33</v>
      </c>
      <c r="C7" t="str">
        <f t="shared" si="0"/>
        <v>young</v>
      </c>
      <c r="D7" t="str">
        <f>VLOOKUP(B7,vlookup!$A$2:$B$4,2,TRUE)</f>
        <v>Young</v>
      </c>
      <c r="E7" t="s">
        <v>15</v>
      </c>
      <c r="F7">
        <f t="shared" si="1"/>
        <v>0</v>
      </c>
      <c r="G7">
        <f>VLOOKUP(E7,vlookup!$D$2:$E$3,2,FALSE)</f>
        <v>0</v>
      </c>
      <c r="H7" t="s">
        <v>23</v>
      </c>
      <c r="I7">
        <v>3</v>
      </c>
      <c r="J7" s="1">
        <v>46300</v>
      </c>
      <c r="K7">
        <v>5</v>
      </c>
      <c r="L7" t="s">
        <v>24</v>
      </c>
      <c r="M7">
        <f>MIN($B$2:$B$31)</f>
        <v>21</v>
      </c>
    </row>
    <row r="8" spans="1:13" x14ac:dyDescent="0.35">
      <c r="A8">
        <v>7</v>
      </c>
      <c r="B8">
        <v>65</v>
      </c>
      <c r="C8" t="str">
        <f t="shared" si="0"/>
        <v>elderly</v>
      </c>
      <c r="D8" t="str">
        <f>VLOOKUP(B8,vlookup!$A$2:$B$4,2,TRUE)</f>
        <v>Elderly</v>
      </c>
      <c r="E8" t="s">
        <v>15</v>
      </c>
      <c r="F8">
        <f t="shared" si="1"/>
        <v>0</v>
      </c>
      <c r="G8">
        <f>VLOOKUP(E8,vlookup!$D$2:$E$3,2,FALSE)</f>
        <v>0</v>
      </c>
      <c r="H8" t="s">
        <v>13</v>
      </c>
      <c r="I8">
        <v>2</v>
      </c>
      <c r="J8" s="1">
        <v>49600</v>
      </c>
      <c r="K8">
        <v>1</v>
      </c>
      <c r="L8" t="s">
        <v>25</v>
      </c>
      <c r="M8">
        <f>M6-M7</f>
        <v>44</v>
      </c>
    </row>
    <row r="9" spans="1:13" x14ac:dyDescent="0.35">
      <c r="A9">
        <v>8</v>
      </c>
      <c r="B9">
        <v>45</v>
      </c>
      <c r="C9" t="str">
        <f t="shared" si="0"/>
        <v>middle-aged</v>
      </c>
      <c r="D9" t="str">
        <f>VLOOKUP(B9,vlookup!$A$2:$B$4,2,TRUE)</f>
        <v>Middle-aged</v>
      </c>
      <c r="E9" t="s">
        <v>12</v>
      </c>
      <c r="F9">
        <f t="shared" si="1"/>
        <v>1</v>
      </c>
      <c r="G9">
        <f>VLOOKUP(E9,vlookup!$D$2:$E$3,2,FALSE)</f>
        <v>1</v>
      </c>
      <c r="H9" t="s">
        <v>23</v>
      </c>
      <c r="I9">
        <v>1</v>
      </c>
      <c r="J9" s="1">
        <v>45900</v>
      </c>
      <c r="K9">
        <v>5</v>
      </c>
    </row>
    <row r="10" spans="1:13" x14ac:dyDescent="0.35">
      <c r="A10">
        <v>9</v>
      </c>
      <c r="B10">
        <v>40</v>
      </c>
      <c r="C10" t="str">
        <f t="shared" si="0"/>
        <v>middle-aged</v>
      </c>
      <c r="D10" t="str">
        <f>VLOOKUP(B10,vlookup!$A$2:$B$4,2,TRUE)</f>
        <v>Middle-aged</v>
      </c>
      <c r="E10" t="s">
        <v>12</v>
      </c>
      <c r="F10">
        <f t="shared" si="1"/>
        <v>1</v>
      </c>
      <c r="G10">
        <f>VLOOKUP(E10,vlookup!$D$2:$E$3,2,FALSE)</f>
        <v>1</v>
      </c>
      <c r="H10" t="s">
        <v>16</v>
      </c>
      <c r="I10">
        <v>3</v>
      </c>
      <c r="J10" s="1">
        <v>47700</v>
      </c>
      <c r="K10">
        <v>4</v>
      </c>
      <c r="L10" t="s">
        <v>26</v>
      </c>
      <c r="M10">
        <f>_xlfn.VAR.S($B$2:$B$31)</f>
        <v>113.01264367816098</v>
      </c>
    </row>
    <row r="11" spans="1:13" x14ac:dyDescent="0.35">
      <c r="A11">
        <v>10</v>
      </c>
      <c r="B11">
        <v>32</v>
      </c>
      <c r="C11" t="str">
        <f t="shared" si="0"/>
        <v>young</v>
      </c>
      <c r="D11" t="str">
        <f>VLOOKUP(B11,vlookup!$A$2:$B$4,2,TRUE)</f>
        <v>Young</v>
      </c>
      <c r="E11" t="s">
        <v>15</v>
      </c>
      <c r="F11">
        <f t="shared" si="1"/>
        <v>0</v>
      </c>
      <c r="G11">
        <f>VLOOKUP(E11,vlookup!$D$2:$E$3,2,FALSE)</f>
        <v>0</v>
      </c>
      <c r="H11" t="s">
        <v>16</v>
      </c>
      <c r="I11">
        <v>1</v>
      </c>
      <c r="J11" s="1">
        <v>59900</v>
      </c>
      <c r="K11">
        <v>4</v>
      </c>
      <c r="L11" t="s">
        <v>27</v>
      </c>
      <c r="M11">
        <f>_xlfn.STDEV.S($B$2:$B$31)</f>
        <v>10.630740504694909</v>
      </c>
    </row>
    <row r="12" spans="1:13" x14ac:dyDescent="0.35">
      <c r="A12">
        <v>11</v>
      </c>
      <c r="B12">
        <v>57</v>
      </c>
      <c r="C12" t="str">
        <f t="shared" si="0"/>
        <v>middle-aged</v>
      </c>
      <c r="D12" t="str">
        <f>VLOOKUP(B12,vlookup!$A$2:$B$4,2,TRUE)</f>
        <v>Middle-aged</v>
      </c>
      <c r="E12" t="s">
        <v>12</v>
      </c>
      <c r="F12">
        <f t="shared" si="1"/>
        <v>1</v>
      </c>
      <c r="G12">
        <f>VLOOKUP(E12,vlookup!$D$2:$E$3,2,FALSE)</f>
        <v>1</v>
      </c>
      <c r="H12" t="s">
        <v>23</v>
      </c>
      <c r="I12">
        <v>1</v>
      </c>
      <c r="J12" s="1">
        <v>48100</v>
      </c>
      <c r="K12">
        <v>4</v>
      </c>
    </row>
    <row r="13" spans="1:13" x14ac:dyDescent="0.35">
      <c r="A13">
        <v>12</v>
      </c>
      <c r="B13">
        <v>38</v>
      </c>
      <c r="C13" t="str">
        <f t="shared" si="0"/>
        <v>middle-aged</v>
      </c>
      <c r="D13" t="str">
        <f>VLOOKUP(B13,vlookup!$A$2:$B$4,2,TRUE)</f>
        <v>Middle-aged</v>
      </c>
      <c r="E13" t="s">
        <v>15</v>
      </c>
      <c r="F13">
        <f t="shared" si="1"/>
        <v>0</v>
      </c>
      <c r="G13">
        <f>VLOOKUP(E13,vlookup!$D$2:$E$3,2,FALSE)</f>
        <v>0</v>
      </c>
      <c r="H13" t="s">
        <v>28</v>
      </c>
      <c r="I13">
        <v>0</v>
      </c>
      <c r="J13" s="1">
        <v>58100</v>
      </c>
      <c r="K13">
        <v>3</v>
      </c>
    </row>
    <row r="14" spans="1:13" x14ac:dyDescent="0.35">
      <c r="A14">
        <v>13</v>
      </c>
      <c r="B14">
        <v>37</v>
      </c>
      <c r="C14" t="str">
        <f t="shared" si="0"/>
        <v>middle-aged</v>
      </c>
      <c r="D14" t="str">
        <f>VLOOKUP(B14,vlookup!$A$2:$B$4,2,TRUE)</f>
        <v>Middle-aged</v>
      </c>
      <c r="E14" t="s">
        <v>15</v>
      </c>
      <c r="F14">
        <f t="shared" si="1"/>
        <v>0</v>
      </c>
      <c r="G14">
        <f>VLOOKUP(E14,vlookup!$D$2:$E$3,2,FALSE)</f>
        <v>0</v>
      </c>
      <c r="H14" t="s">
        <v>29</v>
      </c>
      <c r="I14">
        <v>2</v>
      </c>
      <c r="J14" s="1">
        <v>56000</v>
      </c>
      <c r="K14">
        <v>1</v>
      </c>
    </row>
    <row r="15" spans="1:13" x14ac:dyDescent="0.35">
      <c r="A15">
        <v>14</v>
      </c>
      <c r="B15">
        <v>42</v>
      </c>
      <c r="C15" t="str">
        <f t="shared" si="0"/>
        <v>middle-aged</v>
      </c>
      <c r="D15" t="str">
        <f>VLOOKUP(B15,vlookup!$A$2:$B$4,2,TRUE)</f>
        <v>Middle-aged</v>
      </c>
      <c r="E15" t="s">
        <v>15</v>
      </c>
      <c r="F15">
        <f t="shared" si="1"/>
        <v>0</v>
      </c>
      <c r="G15">
        <f>VLOOKUP(E15,vlookup!$D$2:$E$3,2,FALSE)</f>
        <v>0</v>
      </c>
      <c r="H15" t="s">
        <v>28</v>
      </c>
      <c r="I15">
        <v>2</v>
      </c>
      <c r="J15" s="1">
        <v>53400</v>
      </c>
      <c r="K15">
        <v>1</v>
      </c>
    </row>
    <row r="16" spans="1:13" x14ac:dyDescent="0.35">
      <c r="A16">
        <v>15</v>
      </c>
      <c r="B16">
        <v>38</v>
      </c>
      <c r="C16" t="str">
        <f t="shared" si="0"/>
        <v>middle-aged</v>
      </c>
      <c r="D16" t="str">
        <f>VLOOKUP(B16,vlookup!$A$2:$B$4,2,TRUE)</f>
        <v>Middle-aged</v>
      </c>
      <c r="E16" t="s">
        <v>15</v>
      </c>
      <c r="F16">
        <f t="shared" si="1"/>
        <v>0</v>
      </c>
      <c r="G16">
        <f>VLOOKUP(E16,vlookup!$D$2:$E$3,2,FALSE)</f>
        <v>0</v>
      </c>
      <c r="H16" t="s">
        <v>23</v>
      </c>
      <c r="I16">
        <v>2</v>
      </c>
      <c r="J16" s="1">
        <v>39000</v>
      </c>
      <c r="K16">
        <v>2</v>
      </c>
    </row>
    <row r="17" spans="1:11" x14ac:dyDescent="0.35">
      <c r="A17">
        <v>16</v>
      </c>
      <c r="B17">
        <v>48</v>
      </c>
      <c r="C17" t="str">
        <f t="shared" si="0"/>
        <v>middle-aged</v>
      </c>
      <c r="D17" t="str">
        <f>VLOOKUP(B17,vlookup!$A$2:$B$4,2,TRUE)</f>
        <v>Middle-aged</v>
      </c>
      <c r="E17" t="s">
        <v>12</v>
      </c>
      <c r="F17">
        <f t="shared" si="1"/>
        <v>1</v>
      </c>
      <c r="G17">
        <f>VLOOKUP(E17,vlookup!$D$2:$E$3,2,FALSE)</f>
        <v>1</v>
      </c>
      <c r="H17" t="s">
        <v>30</v>
      </c>
      <c r="I17">
        <v>1</v>
      </c>
      <c r="J17" s="1">
        <v>61500</v>
      </c>
      <c r="K17">
        <v>2</v>
      </c>
    </row>
    <row r="18" spans="1:11" x14ac:dyDescent="0.35">
      <c r="A18">
        <v>17</v>
      </c>
      <c r="B18">
        <v>40</v>
      </c>
      <c r="C18" t="str">
        <f t="shared" si="0"/>
        <v>middle-aged</v>
      </c>
      <c r="D18" t="str">
        <f>VLOOKUP(B18,vlookup!$A$2:$B$4,2,TRUE)</f>
        <v>Middle-aged</v>
      </c>
      <c r="E18" t="s">
        <v>12</v>
      </c>
      <c r="F18">
        <f t="shared" si="1"/>
        <v>1</v>
      </c>
      <c r="G18">
        <f>VLOOKUP(E18,vlookup!$D$2:$E$3,2,FALSE)</f>
        <v>1</v>
      </c>
      <c r="H18" t="s">
        <v>18</v>
      </c>
      <c r="I18">
        <v>0</v>
      </c>
      <c r="J18" s="1">
        <v>37700</v>
      </c>
      <c r="K18">
        <v>1</v>
      </c>
    </row>
    <row r="19" spans="1:11" x14ac:dyDescent="0.35">
      <c r="A19">
        <v>18</v>
      </c>
      <c r="B19">
        <v>57</v>
      </c>
      <c r="C19" t="str">
        <f t="shared" si="0"/>
        <v>middle-aged</v>
      </c>
      <c r="D19" t="str">
        <f>VLOOKUP(B19,vlookup!$A$2:$B$4,2,TRUE)</f>
        <v>Middle-aged</v>
      </c>
      <c r="E19" t="s">
        <v>15</v>
      </c>
      <c r="F19">
        <f t="shared" si="1"/>
        <v>0</v>
      </c>
      <c r="G19">
        <f>VLOOKUP(E19,vlookup!$D$2:$E$3,2,FALSE)</f>
        <v>0</v>
      </c>
      <c r="H19" t="s">
        <v>30</v>
      </c>
      <c r="I19">
        <v>2</v>
      </c>
      <c r="J19" s="1">
        <v>36700</v>
      </c>
      <c r="K19">
        <v>4</v>
      </c>
    </row>
    <row r="20" spans="1:11" x14ac:dyDescent="0.35">
      <c r="A20">
        <v>19</v>
      </c>
      <c r="B20">
        <v>44</v>
      </c>
      <c r="C20" t="str">
        <f t="shared" si="0"/>
        <v>middle-aged</v>
      </c>
      <c r="D20" t="str">
        <f>VLOOKUP(B20,vlookup!$A$2:$B$4,2,TRUE)</f>
        <v>Middle-aged</v>
      </c>
      <c r="E20" t="s">
        <v>12</v>
      </c>
      <c r="F20">
        <f t="shared" si="1"/>
        <v>1</v>
      </c>
      <c r="G20">
        <f>VLOOKUP(E20,vlookup!$D$2:$E$3,2,FALSE)</f>
        <v>1</v>
      </c>
      <c r="H20" t="s">
        <v>20</v>
      </c>
      <c r="I20">
        <v>2</v>
      </c>
      <c r="J20" s="1">
        <v>45200</v>
      </c>
      <c r="K20">
        <v>3</v>
      </c>
    </row>
    <row r="21" spans="1:11" x14ac:dyDescent="0.35">
      <c r="A21">
        <v>20</v>
      </c>
      <c r="B21">
        <v>40</v>
      </c>
      <c r="C21" t="str">
        <f t="shared" si="0"/>
        <v>middle-aged</v>
      </c>
      <c r="D21" t="str">
        <f>VLOOKUP(B21,vlookup!$A$2:$B$4,2,TRUE)</f>
        <v>Middle-aged</v>
      </c>
      <c r="E21" t="s">
        <v>12</v>
      </c>
      <c r="F21">
        <f t="shared" si="1"/>
        <v>1</v>
      </c>
      <c r="G21">
        <f>VLOOKUP(E21,vlookup!$D$2:$E$3,2,FALSE)</f>
        <v>1</v>
      </c>
      <c r="H21" t="s">
        <v>30</v>
      </c>
      <c r="I21">
        <v>0</v>
      </c>
      <c r="J21" s="1">
        <v>59000</v>
      </c>
      <c r="K21">
        <v>4</v>
      </c>
    </row>
    <row r="22" spans="1:11" x14ac:dyDescent="0.35">
      <c r="A22">
        <v>21</v>
      </c>
      <c r="B22">
        <v>21</v>
      </c>
      <c r="C22" t="str">
        <f t="shared" si="0"/>
        <v>young</v>
      </c>
      <c r="D22" t="str">
        <f>VLOOKUP(B22,vlookup!$A$2:$B$4,2,TRUE)</f>
        <v>Young</v>
      </c>
      <c r="E22" t="s">
        <v>15</v>
      </c>
      <c r="F22">
        <f t="shared" si="1"/>
        <v>0</v>
      </c>
      <c r="G22">
        <f>VLOOKUP(E22,vlookup!$D$2:$E$3,2,FALSE)</f>
        <v>0</v>
      </c>
      <c r="H22" t="s">
        <v>13</v>
      </c>
      <c r="I22">
        <v>2</v>
      </c>
      <c r="J22" s="1">
        <v>54300</v>
      </c>
      <c r="K22">
        <v>2</v>
      </c>
    </row>
    <row r="23" spans="1:11" x14ac:dyDescent="0.35">
      <c r="A23">
        <v>22</v>
      </c>
      <c r="B23">
        <v>49</v>
      </c>
      <c r="C23" t="str">
        <f t="shared" si="0"/>
        <v>middle-aged</v>
      </c>
      <c r="D23" t="str">
        <f>VLOOKUP(B23,vlookup!$A$2:$B$4,2,TRUE)</f>
        <v>Middle-aged</v>
      </c>
      <c r="E23" t="s">
        <v>12</v>
      </c>
      <c r="F23">
        <f t="shared" si="1"/>
        <v>1</v>
      </c>
      <c r="G23">
        <f>VLOOKUP(E23,vlookup!$D$2:$E$3,2,FALSE)</f>
        <v>1</v>
      </c>
      <c r="H23" t="s">
        <v>23</v>
      </c>
      <c r="I23">
        <v>1</v>
      </c>
      <c r="J23" s="1">
        <v>62100</v>
      </c>
      <c r="K23">
        <v>4</v>
      </c>
    </row>
    <row r="24" spans="1:11" x14ac:dyDescent="0.35">
      <c r="A24">
        <v>23</v>
      </c>
      <c r="B24">
        <v>34</v>
      </c>
      <c r="C24" t="str">
        <f t="shared" si="0"/>
        <v>young</v>
      </c>
      <c r="D24" t="str">
        <f>VLOOKUP(B24,vlookup!$A$2:$B$4,2,TRUE)</f>
        <v>Young</v>
      </c>
      <c r="E24" t="s">
        <v>12</v>
      </c>
      <c r="F24">
        <f t="shared" si="1"/>
        <v>1</v>
      </c>
      <c r="G24">
        <f>VLOOKUP(E24,vlookup!$D$2:$E$3,2,FALSE)</f>
        <v>1</v>
      </c>
      <c r="H24" t="s">
        <v>23</v>
      </c>
      <c r="I24">
        <v>0</v>
      </c>
      <c r="J24" s="1">
        <v>78000</v>
      </c>
      <c r="K24">
        <v>3</v>
      </c>
    </row>
    <row r="25" spans="1:11" x14ac:dyDescent="0.35">
      <c r="A25">
        <v>24</v>
      </c>
      <c r="B25">
        <v>49</v>
      </c>
      <c r="C25" t="str">
        <f t="shared" si="0"/>
        <v>middle-aged</v>
      </c>
      <c r="D25" t="str">
        <f>VLOOKUP(B25,vlookup!$A$2:$B$4,2,TRUE)</f>
        <v>Middle-aged</v>
      </c>
      <c r="E25" t="s">
        <v>12</v>
      </c>
      <c r="F25">
        <f t="shared" si="1"/>
        <v>1</v>
      </c>
      <c r="G25">
        <f>VLOOKUP(E25,vlookup!$D$2:$E$3,2,FALSE)</f>
        <v>1</v>
      </c>
      <c r="H25" t="s">
        <v>31</v>
      </c>
      <c r="I25">
        <v>0</v>
      </c>
      <c r="J25" s="1">
        <v>43200</v>
      </c>
      <c r="K25">
        <v>5</v>
      </c>
    </row>
    <row r="26" spans="1:11" x14ac:dyDescent="0.35">
      <c r="A26">
        <v>25</v>
      </c>
      <c r="B26">
        <v>40</v>
      </c>
      <c r="C26" t="str">
        <f t="shared" si="0"/>
        <v>middle-aged</v>
      </c>
      <c r="D26" t="str">
        <f>VLOOKUP(B26,vlookup!$A$2:$B$4,2,TRUE)</f>
        <v>Middle-aged</v>
      </c>
      <c r="E26" t="s">
        <v>12</v>
      </c>
      <c r="F26">
        <f t="shared" si="1"/>
        <v>1</v>
      </c>
      <c r="G26">
        <f>VLOOKUP(E26,vlookup!$D$2:$E$3,2,FALSE)</f>
        <v>1</v>
      </c>
      <c r="H26" t="s">
        <v>31</v>
      </c>
      <c r="I26">
        <v>1</v>
      </c>
      <c r="J26" s="1">
        <v>44500</v>
      </c>
      <c r="K26">
        <v>3</v>
      </c>
    </row>
    <row r="27" spans="1:11" x14ac:dyDescent="0.35">
      <c r="A27">
        <v>26</v>
      </c>
      <c r="B27">
        <v>38</v>
      </c>
      <c r="C27" t="str">
        <f t="shared" si="0"/>
        <v>middle-aged</v>
      </c>
      <c r="D27" t="str">
        <f>VLOOKUP(B27,vlookup!$A$2:$B$4,2,TRUE)</f>
        <v>Middle-aged</v>
      </c>
      <c r="E27" t="s">
        <v>12</v>
      </c>
      <c r="F27">
        <f t="shared" si="1"/>
        <v>1</v>
      </c>
      <c r="G27">
        <f>VLOOKUP(E27,vlookup!$D$2:$E$3,2,FALSE)</f>
        <v>1</v>
      </c>
      <c r="H27" t="s">
        <v>18</v>
      </c>
      <c r="I27">
        <v>1</v>
      </c>
      <c r="J27" s="1">
        <v>43300</v>
      </c>
      <c r="K27">
        <v>1</v>
      </c>
    </row>
    <row r="28" spans="1:11" x14ac:dyDescent="0.35">
      <c r="A28">
        <v>27</v>
      </c>
      <c r="B28">
        <v>27</v>
      </c>
      <c r="C28" t="str">
        <f t="shared" si="0"/>
        <v>young</v>
      </c>
      <c r="D28" t="str">
        <f>VLOOKUP(B28,vlookup!$A$2:$B$4,2,TRUE)</f>
        <v>Young</v>
      </c>
      <c r="E28" t="s">
        <v>12</v>
      </c>
      <c r="F28">
        <f t="shared" si="1"/>
        <v>1</v>
      </c>
      <c r="G28">
        <f>VLOOKUP(E28,vlookup!$D$2:$E$3,2,FALSE)</f>
        <v>1</v>
      </c>
      <c r="H28" t="s">
        <v>29</v>
      </c>
      <c r="I28">
        <v>3</v>
      </c>
      <c r="J28" s="1">
        <v>45400</v>
      </c>
      <c r="K28">
        <v>2</v>
      </c>
    </row>
    <row r="29" spans="1:11" x14ac:dyDescent="0.35">
      <c r="A29">
        <v>28</v>
      </c>
      <c r="B29">
        <v>63</v>
      </c>
      <c r="C29" t="str">
        <f t="shared" si="0"/>
        <v>elderly</v>
      </c>
      <c r="D29" t="str">
        <f>VLOOKUP(B29,vlookup!$A$2:$B$4,2,TRUE)</f>
        <v>Elderly</v>
      </c>
      <c r="E29" t="s">
        <v>12</v>
      </c>
      <c r="F29">
        <f t="shared" si="1"/>
        <v>1</v>
      </c>
      <c r="G29">
        <f>VLOOKUP(E29,vlookup!$D$2:$E$3,2,FALSE)</f>
        <v>1</v>
      </c>
      <c r="H29" t="s">
        <v>30</v>
      </c>
      <c r="I29">
        <v>2</v>
      </c>
      <c r="J29" s="1">
        <v>53900</v>
      </c>
      <c r="K29">
        <v>1</v>
      </c>
    </row>
    <row r="30" spans="1:11" x14ac:dyDescent="0.35">
      <c r="A30">
        <v>29</v>
      </c>
      <c r="B30">
        <v>52</v>
      </c>
      <c r="C30" t="str">
        <f t="shared" si="0"/>
        <v>middle-aged</v>
      </c>
      <c r="D30" t="str">
        <f>VLOOKUP(B30,vlookup!$A$2:$B$4,2,TRUE)</f>
        <v>Middle-aged</v>
      </c>
      <c r="E30" t="s">
        <v>12</v>
      </c>
      <c r="F30">
        <f t="shared" si="1"/>
        <v>1</v>
      </c>
      <c r="G30">
        <f>VLOOKUP(E30,vlookup!$D$2:$E$3,2,FALSE)</f>
        <v>1</v>
      </c>
      <c r="H30" t="s">
        <v>21</v>
      </c>
      <c r="I30">
        <v>1</v>
      </c>
      <c r="J30" s="1">
        <v>44100</v>
      </c>
      <c r="K30">
        <v>3</v>
      </c>
    </row>
    <row r="31" spans="1:11" x14ac:dyDescent="0.35">
      <c r="A31">
        <v>30</v>
      </c>
      <c r="B31">
        <v>48</v>
      </c>
      <c r="C31" t="str">
        <f t="shared" si="0"/>
        <v>middle-aged</v>
      </c>
      <c r="D31" t="str">
        <f>VLOOKUP(B31,vlookup!$A$2:$B$4,2,TRUE)</f>
        <v>Middle-aged</v>
      </c>
      <c r="E31" t="s">
        <v>15</v>
      </c>
      <c r="F31">
        <f t="shared" si="1"/>
        <v>0</v>
      </c>
      <c r="G31">
        <f>VLOOKUP(E31,vlookup!$D$2:$E$3,2,FALSE)</f>
        <v>0</v>
      </c>
      <c r="H31" t="s">
        <v>23</v>
      </c>
      <c r="I31">
        <v>2</v>
      </c>
      <c r="J31" s="1">
        <v>31000</v>
      </c>
      <c r="K31">
        <v>4</v>
      </c>
    </row>
  </sheetData>
  <autoFilter ref="A1:K31" xr:uid="{00000000-0001-0000-0000-000000000000}"/>
  <sortState xmlns:xlrd2="http://schemas.microsoft.com/office/spreadsheetml/2017/richdata2" ref="A2:K31">
    <sortCondition ref="A2:A31"/>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2A44-871A-491D-A126-64DB2687EAA9}">
  <dimension ref="A3:E16"/>
  <sheetViews>
    <sheetView topLeftCell="A4" workbookViewId="0">
      <selection activeCell="E13" sqref="E13"/>
    </sheetView>
  </sheetViews>
  <sheetFormatPr defaultRowHeight="14.5" x14ac:dyDescent="0.35"/>
  <cols>
    <col min="1" max="1" width="12.36328125" bestFit="1" customWidth="1"/>
    <col min="2" max="2" width="15.26953125" bestFit="1" customWidth="1"/>
    <col min="3" max="3" width="9" bestFit="1" customWidth="1"/>
    <col min="4" max="4" width="12.36328125" bestFit="1" customWidth="1"/>
    <col min="5" max="5" width="12.08984375" bestFit="1" customWidth="1"/>
  </cols>
  <sheetData>
    <row r="3" spans="1:5" x14ac:dyDescent="0.35">
      <c r="A3" s="2" t="s">
        <v>47</v>
      </c>
      <c r="B3" s="2" t="s">
        <v>43</v>
      </c>
    </row>
    <row r="4" spans="1:5" x14ac:dyDescent="0.35">
      <c r="A4" s="2" t="s">
        <v>44</v>
      </c>
      <c r="B4">
        <v>0</v>
      </c>
      <c r="C4">
        <v>1</v>
      </c>
      <c r="D4" t="s">
        <v>45</v>
      </c>
    </row>
    <row r="5" spans="1:5" x14ac:dyDescent="0.35">
      <c r="A5" s="3">
        <v>1</v>
      </c>
      <c r="B5" s="4">
        <v>5</v>
      </c>
      <c r="C5" s="4">
        <v>3</v>
      </c>
      <c r="D5" s="4">
        <v>8</v>
      </c>
    </row>
    <row r="6" spans="1:5" x14ac:dyDescent="0.35">
      <c r="A6" s="3">
        <v>2</v>
      </c>
      <c r="B6" s="4">
        <v>2</v>
      </c>
      <c r="C6" s="4">
        <v>2</v>
      </c>
      <c r="D6" s="4">
        <v>4</v>
      </c>
    </row>
    <row r="7" spans="1:5" x14ac:dyDescent="0.35">
      <c r="A7" s="3">
        <v>3</v>
      </c>
      <c r="B7" s="4">
        <v>1</v>
      </c>
      <c r="C7" s="4">
        <v>5</v>
      </c>
      <c r="D7" s="4">
        <v>6</v>
      </c>
    </row>
    <row r="8" spans="1:5" x14ac:dyDescent="0.35">
      <c r="A8" s="3">
        <v>4</v>
      </c>
      <c r="B8" s="4">
        <v>3</v>
      </c>
      <c r="C8" s="4">
        <v>4</v>
      </c>
      <c r="D8" s="4">
        <v>7</v>
      </c>
    </row>
    <row r="9" spans="1:5" x14ac:dyDescent="0.35">
      <c r="A9" s="3">
        <v>5</v>
      </c>
      <c r="B9" s="4">
        <v>1</v>
      </c>
      <c r="C9" s="4">
        <v>4</v>
      </c>
      <c r="D9" s="4">
        <v>5</v>
      </c>
    </row>
    <row r="10" spans="1:5" x14ac:dyDescent="0.35">
      <c r="A10" s="3" t="s">
        <v>45</v>
      </c>
      <c r="B10" s="4">
        <v>12</v>
      </c>
      <c r="C10" s="4">
        <v>18</v>
      </c>
      <c r="D10" s="4">
        <v>30</v>
      </c>
    </row>
    <row r="13" spans="1:5" x14ac:dyDescent="0.35">
      <c r="A13" s="2" t="s">
        <v>44</v>
      </c>
      <c r="B13" t="s">
        <v>48</v>
      </c>
      <c r="D13" s="2" t="s">
        <v>44</v>
      </c>
      <c r="E13" t="s">
        <v>42</v>
      </c>
    </row>
    <row r="14" spans="1:5" x14ac:dyDescent="0.35">
      <c r="A14" s="3" t="s">
        <v>15</v>
      </c>
      <c r="B14" s="1">
        <v>52308.333333333336</v>
      </c>
      <c r="D14" s="3" t="s">
        <v>15</v>
      </c>
      <c r="E14" s="1">
        <v>627700</v>
      </c>
    </row>
    <row r="15" spans="1:5" x14ac:dyDescent="0.35">
      <c r="A15" s="3" t="s">
        <v>12</v>
      </c>
      <c r="B15" s="1">
        <v>52233.333333333336</v>
      </c>
      <c r="D15" s="3" t="s">
        <v>12</v>
      </c>
      <c r="E15" s="1">
        <v>940200</v>
      </c>
    </row>
    <row r="16" spans="1:5" x14ac:dyDescent="0.35">
      <c r="A16" s="3" t="s">
        <v>45</v>
      </c>
      <c r="B16" s="1">
        <v>52263.333333333336</v>
      </c>
      <c r="D16" s="3" t="s">
        <v>45</v>
      </c>
      <c r="E16" s="1">
        <v>1567900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FFED-184D-4133-B01E-5A4BC8A1E0AA}">
  <dimension ref="A1:C4"/>
  <sheetViews>
    <sheetView tabSelected="1" workbookViewId="0"/>
  </sheetViews>
  <sheetFormatPr defaultRowHeight="14.5" x14ac:dyDescent="0.35"/>
  <cols>
    <col min="1" max="1" width="12.36328125" bestFit="1" customWidth="1"/>
    <col min="2" max="2" width="10.1796875" bestFit="1" customWidth="1"/>
    <col min="3" max="3" width="12.08984375" bestFit="1" customWidth="1"/>
    <col min="4" max="4" width="13.81640625" bestFit="1" customWidth="1"/>
  </cols>
  <sheetData>
    <row r="1" spans="1:3" x14ac:dyDescent="0.35">
      <c r="A1" s="2" t="s">
        <v>44</v>
      </c>
      <c r="B1" t="s">
        <v>46</v>
      </c>
      <c r="C1" t="s">
        <v>42</v>
      </c>
    </row>
    <row r="2" spans="1:3" x14ac:dyDescent="0.35">
      <c r="A2" s="3" t="s">
        <v>15</v>
      </c>
      <c r="B2" s="4">
        <v>504</v>
      </c>
      <c r="C2" s="1">
        <v>627700</v>
      </c>
    </row>
    <row r="3" spans="1:3" x14ac:dyDescent="0.35">
      <c r="A3" s="3" t="s">
        <v>12</v>
      </c>
      <c r="B3" s="4">
        <v>773</v>
      </c>
      <c r="C3" s="1">
        <v>940200</v>
      </c>
    </row>
    <row r="4" spans="1:3" x14ac:dyDescent="0.35">
      <c r="A4" s="3" t="s">
        <v>45</v>
      </c>
      <c r="B4" s="4">
        <v>1277</v>
      </c>
      <c r="C4" s="1">
        <v>1567900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A3A37-19D3-4327-B64C-16108A56A1E7}">
  <dimension ref="A1:H32"/>
  <sheetViews>
    <sheetView zoomScale="51" workbookViewId="0">
      <selection activeCell="H1" sqref="A1:H31"/>
    </sheetView>
  </sheetViews>
  <sheetFormatPr defaultRowHeight="14.5" x14ac:dyDescent="0.35"/>
  <cols>
    <col min="3" max="3" width="9" customWidth="1"/>
    <col min="5" max="5" width="9.81640625" customWidth="1"/>
    <col min="6" max="6" width="19.7265625" customWidth="1"/>
    <col min="7" max="7" width="9.453125" customWidth="1"/>
    <col min="8" max="8" width="13.26953125" customWidth="1"/>
  </cols>
  <sheetData>
    <row r="1" spans="1:8" x14ac:dyDescent="0.35">
      <c r="A1" t="s">
        <v>0</v>
      </c>
      <c r="B1" t="s">
        <v>1</v>
      </c>
      <c r="C1" t="s">
        <v>4</v>
      </c>
      <c r="D1" t="s">
        <v>7</v>
      </c>
      <c r="E1" t="s">
        <v>8</v>
      </c>
      <c r="F1" t="s">
        <v>9</v>
      </c>
      <c r="G1" t="s">
        <v>10</v>
      </c>
      <c r="H1" t="s">
        <v>40</v>
      </c>
    </row>
    <row r="2" spans="1:8" x14ac:dyDescent="0.35">
      <c r="A2">
        <v>1</v>
      </c>
      <c r="B2">
        <v>35</v>
      </c>
      <c r="C2" t="s">
        <v>12</v>
      </c>
      <c r="D2" t="s">
        <v>13</v>
      </c>
      <c r="E2">
        <v>1</v>
      </c>
      <c r="F2" s="1">
        <v>65400</v>
      </c>
      <c r="G2">
        <v>5</v>
      </c>
      <c r="H2">
        <f>VLOOKUP(Table1[[#This Row],[Gender]],vlookup!$D$2:$E$3,2)</f>
        <v>1</v>
      </c>
    </row>
    <row r="3" spans="1:8" x14ac:dyDescent="0.35">
      <c r="A3">
        <v>2</v>
      </c>
      <c r="B3">
        <v>61</v>
      </c>
      <c r="C3" t="s">
        <v>15</v>
      </c>
      <c r="D3" t="s">
        <v>16</v>
      </c>
      <c r="E3">
        <v>2</v>
      </c>
      <c r="F3" s="1">
        <v>62000</v>
      </c>
      <c r="G3">
        <v>1</v>
      </c>
      <c r="H3">
        <f>VLOOKUP(Table1[[#This Row],[Gender]],vlookup!$D$2:$E$3,2)</f>
        <v>0</v>
      </c>
    </row>
    <row r="4" spans="1:8" x14ac:dyDescent="0.35">
      <c r="A4">
        <v>3</v>
      </c>
      <c r="B4">
        <v>35</v>
      </c>
      <c r="C4" t="s">
        <v>12</v>
      </c>
      <c r="D4" t="s">
        <v>18</v>
      </c>
      <c r="E4">
        <v>0</v>
      </c>
      <c r="F4" s="1">
        <v>63200</v>
      </c>
      <c r="G4">
        <v>3</v>
      </c>
      <c r="H4">
        <f>VLOOKUP(Table1[[#This Row],[Gender]],vlookup!$D$2:$E$3,2)</f>
        <v>1</v>
      </c>
    </row>
    <row r="5" spans="1:8" x14ac:dyDescent="0.35">
      <c r="A5">
        <v>4</v>
      </c>
      <c r="B5">
        <v>37</v>
      </c>
      <c r="C5" t="s">
        <v>12</v>
      </c>
      <c r="D5" t="s">
        <v>20</v>
      </c>
      <c r="E5">
        <v>2</v>
      </c>
      <c r="F5" s="1">
        <v>52000</v>
      </c>
      <c r="G5">
        <v>5</v>
      </c>
      <c r="H5">
        <f>VLOOKUP(Table1[[#This Row],[Gender]],vlookup!$D$2:$E$3,2)</f>
        <v>1</v>
      </c>
    </row>
    <row r="6" spans="1:8" x14ac:dyDescent="0.35">
      <c r="A6">
        <v>5</v>
      </c>
      <c r="B6">
        <v>32</v>
      </c>
      <c r="C6" t="s">
        <v>15</v>
      </c>
      <c r="D6" t="s">
        <v>21</v>
      </c>
      <c r="E6">
        <v>3</v>
      </c>
      <c r="F6" s="1">
        <v>81400</v>
      </c>
      <c r="G6">
        <v>1</v>
      </c>
      <c r="H6">
        <f>VLOOKUP(Table1[[#This Row],[Gender]],vlookup!$D$2:$E$3,2)</f>
        <v>0</v>
      </c>
    </row>
    <row r="7" spans="1:8" x14ac:dyDescent="0.35">
      <c r="A7">
        <v>6</v>
      </c>
      <c r="B7">
        <v>33</v>
      </c>
      <c r="C7" t="s">
        <v>15</v>
      </c>
      <c r="D7" t="s">
        <v>23</v>
      </c>
      <c r="E7">
        <v>3</v>
      </c>
      <c r="F7" s="1">
        <v>46300</v>
      </c>
      <c r="G7">
        <v>5</v>
      </c>
      <c r="H7">
        <f>VLOOKUP(Table1[[#This Row],[Gender]],vlookup!$D$2:$E$3,2)</f>
        <v>0</v>
      </c>
    </row>
    <row r="8" spans="1:8" x14ac:dyDescent="0.35">
      <c r="A8">
        <v>7</v>
      </c>
      <c r="B8">
        <v>65</v>
      </c>
      <c r="C8" t="s">
        <v>15</v>
      </c>
      <c r="D8" t="s">
        <v>13</v>
      </c>
      <c r="E8">
        <v>2</v>
      </c>
      <c r="F8" s="1">
        <v>49600</v>
      </c>
      <c r="G8">
        <v>1</v>
      </c>
      <c r="H8">
        <f>VLOOKUP(Table1[[#This Row],[Gender]],vlookup!$D$2:$E$3,2)</f>
        <v>0</v>
      </c>
    </row>
    <row r="9" spans="1:8" x14ac:dyDescent="0.35">
      <c r="A9">
        <v>8</v>
      </c>
      <c r="B9">
        <v>45</v>
      </c>
      <c r="C9" t="s">
        <v>12</v>
      </c>
      <c r="D9" t="s">
        <v>23</v>
      </c>
      <c r="E9">
        <v>1</v>
      </c>
      <c r="F9" s="1">
        <v>45900</v>
      </c>
      <c r="G9">
        <v>5</v>
      </c>
      <c r="H9">
        <f>VLOOKUP(Table1[[#This Row],[Gender]],vlookup!$D$2:$E$3,2)</f>
        <v>1</v>
      </c>
    </row>
    <row r="10" spans="1:8" x14ac:dyDescent="0.35">
      <c r="A10">
        <v>9</v>
      </c>
      <c r="B10">
        <v>40</v>
      </c>
      <c r="C10" t="s">
        <v>12</v>
      </c>
      <c r="D10" t="s">
        <v>16</v>
      </c>
      <c r="E10">
        <v>3</v>
      </c>
      <c r="F10" s="1">
        <v>47700</v>
      </c>
      <c r="G10">
        <v>4</v>
      </c>
      <c r="H10">
        <f>VLOOKUP(Table1[[#This Row],[Gender]],vlookup!$D$2:$E$3,2)</f>
        <v>1</v>
      </c>
    </row>
    <row r="11" spans="1:8" x14ac:dyDescent="0.35">
      <c r="A11">
        <v>10</v>
      </c>
      <c r="B11">
        <v>32</v>
      </c>
      <c r="C11" t="s">
        <v>15</v>
      </c>
      <c r="D11" t="s">
        <v>16</v>
      </c>
      <c r="E11">
        <v>1</v>
      </c>
      <c r="F11" s="1">
        <v>59900</v>
      </c>
      <c r="G11">
        <v>4</v>
      </c>
      <c r="H11">
        <f>VLOOKUP(Table1[[#This Row],[Gender]],vlookup!$D$2:$E$3,2)</f>
        <v>0</v>
      </c>
    </row>
    <row r="12" spans="1:8" x14ac:dyDescent="0.35">
      <c r="A12">
        <v>11</v>
      </c>
      <c r="B12">
        <v>57</v>
      </c>
      <c r="C12" t="s">
        <v>12</v>
      </c>
      <c r="D12" t="s">
        <v>23</v>
      </c>
      <c r="E12">
        <v>1</v>
      </c>
      <c r="F12" s="1">
        <v>48100</v>
      </c>
      <c r="G12">
        <v>4</v>
      </c>
      <c r="H12">
        <f>VLOOKUP(Table1[[#This Row],[Gender]],vlookup!$D$2:$E$3,2)</f>
        <v>1</v>
      </c>
    </row>
    <row r="13" spans="1:8" x14ac:dyDescent="0.35">
      <c r="A13">
        <v>12</v>
      </c>
      <c r="B13">
        <v>38</v>
      </c>
      <c r="C13" t="s">
        <v>15</v>
      </c>
      <c r="D13" t="s">
        <v>28</v>
      </c>
      <c r="E13">
        <v>0</v>
      </c>
      <c r="F13" s="1">
        <v>58100</v>
      </c>
      <c r="G13">
        <v>3</v>
      </c>
      <c r="H13">
        <f>VLOOKUP(Table1[[#This Row],[Gender]],vlookup!$D$2:$E$3,2)</f>
        <v>0</v>
      </c>
    </row>
    <row r="14" spans="1:8" x14ac:dyDescent="0.35">
      <c r="A14">
        <v>13</v>
      </c>
      <c r="B14">
        <v>37</v>
      </c>
      <c r="C14" t="s">
        <v>15</v>
      </c>
      <c r="D14" t="s">
        <v>29</v>
      </c>
      <c r="E14">
        <v>2</v>
      </c>
      <c r="F14" s="1">
        <v>56000</v>
      </c>
      <c r="G14">
        <v>1</v>
      </c>
      <c r="H14">
        <f>VLOOKUP(Table1[[#This Row],[Gender]],vlookup!$D$2:$E$3,2)</f>
        <v>0</v>
      </c>
    </row>
    <row r="15" spans="1:8" x14ac:dyDescent="0.35">
      <c r="A15">
        <v>14</v>
      </c>
      <c r="B15">
        <v>42</v>
      </c>
      <c r="C15" t="s">
        <v>15</v>
      </c>
      <c r="D15" t="s">
        <v>28</v>
      </c>
      <c r="E15">
        <v>2</v>
      </c>
      <c r="F15" s="1">
        <v>53400</v>
      </c>
      <c r="G15">
        <v>1</v>
      </c>
      <c r="H15">
        <f>VLOOKUP(Table1[[#This Row],[Gender]],vlookup!$D$2:$E$3,2)</f>
        <v>0</v>
      </c>
    </row>
    <row r="16" spans="1:8" x14ac:dyDescent="0.35">
      <c r="A16">
        <v>15</v>
      </c>
      <c r="B16">
        <v>38</v>
      </c>
      <c r="C16" t="s">
        <v>15</v>
      </c>
      <c r="D16" t="s">
        <v>23</v>
      </c>
      <c r="E16">
        <v>2</v>
      </c>
      <c r="F16" s="1">
        <v>39000</v>
      </c>
      <c r="G16">
        <v>2</v>
      </c>
      <c r="H16">
        <f>VLOOKUP(Table1[[#This Row],[Gender]],vlookup!$D$2:$E$3,2)</f>
        <v>0</v>
      </c>
    </row>
    <row r="17" spans="1:8" x14ac:dyDescent="0.35">
      <c r="A17">
        <v>16</v>
      </c>
      <c r="B17">
        <v>48</v>
      </c>
      <c r="C17" t="s">
        <v>12</v>
      </c>
      <c r="D17" t="s">
        <v>30</v>
      </c>
      <c r="E17">
        <v>1</v>
      </c>
      <c r="F17" s="1">
        <v>61500</v>
      </c>
      <c r="G17">
        <v>2</v>
      </c>
      <c r="H17">
        <f>VLOOKUP(Table1[[#This Row],[Gender]],vlookup!$D$2:$E$3,2)</f>
        <v>1</v>
      </c>
    </row>
    <row r="18" spans="1:8" x14ac:dyDescent="0.35">
      <c r="A18">
        <v>17</v>
      </c>
      <c r="B18">
        <v>40</v>
      </c>
      <c r="C18" t="s">
        <v>12</v>
      </c>
      <c r="D18" t="s">
        <v>18</v>
      </c>
      <c r="E18">
        <v>0</v>
      </c>
      <c r="F18" s="1">
        <v>37700</v>
      </c>
      <c r="G18">
        <v>1</v>
      </c>
      <c r="H18">
        <f>VLOOKUP(Table1[[#This Row],[Gender]],vlookup!$D$2:$E$3,2)</f>
        <v>1</v>
      </c>
    </row>
    <row r="19" spans="1:8" x14ac:dyDescent="0.35">
      <c r="A19">
        <v>18</v>
      </c>
      <c r="B19">
        <v>57</v>
      </c>
      <c r="C19" t="s">
        <v>15</v>
      </c>
      <c r="D19" t="s">
        <v>30</v>
      </c>
      <c r="E19">
        <v>2</v>
      </c>
      <c r="F19" s="1">
        <v>36700</v>
      </c>
      <c r="G19">
        <v>4</v>
      </c>
      <c r="H19">
        <f>VLOOKUP(Table1[[#This Row],[Gender]],vlookup!$D$2:$E$3,2)</f>
        <v>0</v>
      </c>
    </row>
    <row r="20" spans="1:8" x14ac:dyDescent="0.35">
      <c r="A20">
        <v>19</v>
      </c>
      <c r="B20">
        <v>44</v>
      </c>
      <c r="C20" t="s">
        <v>12</v>
      </c>
      <c r="D20" t="s">
        <v>20</v>
      </c>
      <c r="E20">
        <v>2</v>
      </c>
      <c r="F20" s="1">
        <v>45200</v>
      </c>
      <c r="G20">
        <v>3</v>
      </c>
      <c r="H20">
        <f>VLOOKUP(Table1[[#This Row],[Gender]],vlookup!$D$2:$E$3,2)</f>
        <v>1</v>
      </c>
    </row>
    <row r="21" spans="1:8" x14ac:dyDescent="0.35">
      <c r="A21">
        <v>20</v>
      </c>
      <c r="B21">
        <v>40</v>
      </c>
      <c r="C21" t="s">
        <v>12</v>
      </c>
      <c r="D21" t="s">
        <v>30</v>
      </c>
      <c r="E21">
        <v>0</v>
      </c>
      <c r="F21" s="1">
        <v>59000</v>
      </c>
      <c r="G21">
        <v>4</v>
      </c>
      <c r="H21">
        <f>VLOOKUP(Table1[[#This Row],[Gender]],vlookup!$D$2:$E$3,2)</f>
        <v>1</v>
      </c>
    </row>
    <row r="22" spans="1:8" x14ac:dyDescent="0.35">
      <c r="A22">
        <v>21</v>
      </c>
      <c r="B22">
        <v>21</v>
      </c>
      <c r="C22" t="s">
        <v>15</v>
      </c>
      <c r="D22" t="s">
        <v>13</v>
      </c>
      <c r="E22">
        <v>2</v>
      </c>
      <c r="F22" s="1">
        <v>54300</v>
      </c>
      <c r="G22">
        <v>2</v>
      </c>
      <c r="H22">
        <f>VLOOKUP(Table1[[#This Row],[Gender]],vlookup!$D$2:$E$3,2)</f>
        <v>0</v>
      </c>
    </row>
    <row r="23" spans="1:8" x14ac:dyDescent="0.35">
      <c r="A23">
        <v>22</v>
      </c>
      <c r="B23">
        <v>49</v>
      </c>
      <c r="C23" t="s">
        <v>12</v>
      </c>
      <c r="D23" t="s">
        <v>23</v>
      </c>
      <c r="E23">
        <v>1</v>
      </c>
      <c r="F23" s="1">
        <v>62100</v>
      </c>
      <c r="G23">
        <v>4</v>
      </c>
      <c r="H23">
        <f>VLOOKUP(Table1[[#This Row],[Gender]],vlookup!$D$2:$E$3,2)</f>
        <v>1</v>
      </c>
    </row>
    <row r="24" spans="1:8" x14ac:dyDescent="0.35">
      <c r="A24">
        <v>23</v>
      </c>
      <c r="B24">
        <v>34</v>
      </c>
      <c r="C24" t="s">
        <v>12</v>
      </c>
      <c r="D24" t="s">
        <v>23</v>
      </c>
      <c r="E24">
        <v>0</v>
      </c>
      <c r="F24" s="1">
        <v>78000</v>
      </c>
      <c r="G24">
        <v>3</v>
      </c>
      <c r="H24">
        <f>VLOOKUP(Table1[[#This Row],[Gender]],vlookup!$D$2:$E$3,2)</f>
        <v>1</v>
      </c>
    </row>
    <row r="25" spans="1:8" x14ac:dyDescent="0.35">
      <c r="A25">
        <v>24</v>
      </c>
      <c r="B25">
        <v>49</v>
      </c>
      <c r="C25" t="s">
        <v>12</v>
      </c>
      <c r="D25" t="s">
        <v>31</v>
      </c>
      <c r="E25">
        <v>0</v>
      </c>
      <c r="F25" s="1">
        <v>43200</v>
      </c>
      <c r="G25">
        <v>5</v>
      </c>
      <c r="H25">
        <f>VLOOKUP(Table1[[#This Row],[Gender]],vlookup!$D$2:$E$3,2)</f>
        <v>1</v>
      </c>
    </row>
    <row r="26" spans="1:8" x14ac:dyDescent="0.35">
      <c r="A26">
        <v>25</v>
      </c>
      <c r="B26">
        <v>40</v>
      </c>
      <c r="C26" t="s">
        <v>12</v>
      </c>
      <c r="D26" t="s">
        <v>31</v>
      </c>
      <c r="E26">
        <v>1</v>
      </c>
      <c r="F26" s="1">
        <v>44500</v>
      </c>
      <c r="G26">
        <v>3</v>
      </c>
      <c r="H26">
        <f>VLOOKUP(Table1[[#This Row],[Gender]],vlookup!$D$2:$E$3,2)</f>
        <v>1</v>
      </c>
    </row>
    <row r="27" spans="1:8" x14ac:dyDescent="0.35">
      <c r="A27">
        <v>26</v>
      </c>
      <c r="B27">
        <v>38</v>
      </c>
      <c r="C27" t="s">
        <v>12</v>
      </c>
      <c r="D27" t="s">
        <v>18</v>
      </c>
      <c r="E27">
        <v>1</v>
      </c>
      <c r="F27" s="1">
        <v>43300</v>
      </c>
      <c r="G27">
        <v>1</v>
      </c>
      <c r="H27">
        <f>VLOOKUP(Table1[[#This Row],[Gender]],vlookup!$D$2:$E$3,2)</f>
        <v>1</v>
      </c>
    </row>
    <row r="28" spans="1:8" x14ac:dyDescent="0.35">
      <c r="A28">
        <v>27</v>
      </c>
      <c r="B28">
        <v>27</v>
      </c>
      <c r="C28" t="s">
        <v>12</v>
      </c>
      <c r="D28" t="s">
        <v>29</v>
      </c>
      <c r="E28">
        <v>3</v>
      </c>
      <c r="F28" s="1">
        <v>45400</v>
      </c>
      <c r="G28">
        <v>2</v>
      </c>
      <c r="H28">
        <f>VLOOKUP(Table1[[#This Row],[Gender]],vlookup!$D$2:$E$3,2)</f>
        <v>1</v>
      </c>
    </row>
    <row r="29" spans="1:8" x14ac:dyDescent="0.35">
      <c r="A29">
        <v>28</v>
      </c>
      <c r="B29">
        <v>63</v>
      </c>
      <c r="C29" t="s">
        <v>12</v>
      </c>
      <c r="D29" t="s">
        <v>30</v>
      </c>
      <c r="E29">
        <v>2</v>
      </c>
      <c r="F29" s="1">
        <v>53900</v>
      </c>
      <c r="G29">
        <v>1</v>
      </c>
      <c r="H29">
        <f>VLOOKUP(Table1[[#This Row],[Gender]],vlookup!$D$2:$E$3,2)</f>
        <v>1</v>
      </c>
    </row>
    <row r="30" spans="1:8" x14ac:dyDescent="0.35">
      <c r="A30">
        <v>29</v>
      </c>
      <c r="B30">
        <v>52</v>
      </c>
      <c r="C30" t="s">
        <v>12</v>
      </c>
      <c r="D30" t="s">
        <v>21</v>
      </c>
      <c r="E30">
        <v>1</v>
      </c>
      <c r="F30" s="1">
        <v>44100</v>
      </c>
      <c r="G30">
        <v>3</v>
      </c>
      <c r="H30">
        <f>VLOOKUP(Table1[[#This Row],[Gender]],vlookup!$D$2:$E$3,2)</f>
        <v>1</v>
      </c>
    </row>
    <row r="31" spans="1:8" x14ac:dyDescent="0.35">
      <c r="A31">
        <v>30</v>
      </c>
      <c r="B31">
        <v>48</v>
      </c>
      <c r="C31" t="s">
        <v>15</v>
      </c>
      <c r="D31" t="s">
        <v>23</v>
      </c>
      <c r="E31">
        <v>2</v>
      </c>
      <c r="F31" s="1">
        <v>31000</v>
      </c>
      <c r="G31">
        <v>4</v>
      </c>
      <c r="H31">
        <f>VLOOKUP(Table1[[#This Row],[Gender]],vlookup!$D$2:$E$3,2)</f>
        <v>0</v>
      </c>
    </row>
    <row r="32" spans="1:8" x14ac:dyDescent="0.35">
      <c r="A32" t="s">
        <v>41</v>
      </c>
      <c r="B32">
        <f>SUBTOTAL(101,Table1[Age])</f>
        <v>42.56666666666667</v>
      </c>
      <c r="C32">
        <f>SUBTOTAL(103,Table1[Gender])</f>
        <v>30</v>
      </c>
      <c r="D32">
        <f>SUBTOTAL(103,Table1[State])</f>
        <v>30</v>
      </c>
      <c r="E32">
        <f>SUBTOTAL(109,Table1[Children])</f>
        <v>43</v>
      </c>
      <c r="F32" s="1">
        <f>SUBTOTAL(109,Table1[Salary])</f>
        <v>1567900</v>
      </c>
      <c r="G32">
        <f>SUBTOTAL(101,Table1[Opinion])</f>
        <v>2.9</v>
      </c>
      <c r="H32">
        <f>SUBTOTAL(109,Table1[GenderCode])</f>
        <v>18</v>
      </c>
    </row>
  </sheetData>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82198-CD59-4B49-AB17-39150F820F72}">
  <dimension ref="A1:E4"/>
  <sheetViews>
    <sheetView workbookViewId="0">
      <selection activeCell="E4" sqref="E4"/>
    </sheetView>
  </sheetViews>
  <sheetFormatPr defaultRowHeight="14.5" x14ac:dyDescent="0.35"/>
  <cols>
    <col min="2" max="2" width="11.81640625" bestFit="1" customWidth="1"/>
    <col min="7" max="7" width="31.81640625" bestFit="1" customWidth="1"/>
  </cols>
  <sheetData>
    <row r="1" spans="1:5" x14ac:dyDescent="0.35">
      <c r="A1" t="s">
        <v>1</v>
      </c>
      <c r="B1" t="s">
        <v>32</v>
      </c>
      <c r="D1" t="s">
        <v>4</v>
      </c>
      <c r="E1" t="s">
        <v>32</v>
      </c>
    </row>
    <row r="2" spans="1:5" x14ac:dyDescent="0.35">
      <c r="A2">
        <v>0</v>
      </c>
      <c r="B2" t="s">
        <v>33</v>
      </c>
      <c r="D2" t="s">
        <v>15</v>
      </c>
      <c r="E2">
        <v>0</v>
      </c>
    </row>
    <row r="3" spans="1:5" x14ac:dyDescent="0.35">
      <c r="A3">
        <v>35</v>
      </c>
      <c r="B3" t="s">
        <v>34</v>
      </c>
      <c r="D3" t="s">
        <v>12</v>
      </c>
      <c r="E3">
        <v>1</v>
      </c>
    </row>
    <row r="4" spans="1:5" x14ac:dyDescent="0.35">
      <c r="A4">
        <v>60</v>
      </c>
      <c r="B4" t="s">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DFE1-640E-42B8-B192-BC170291C257}">
  <dimension ref="A1:D10"/>
  <sheetViews>
    <sheetView workbookViewId="0">
      <selection activeCell="D2" sqref="D2"/>
    </sheetView>
  </sheetViews>
  <sheetFormatPr defaultRowHeight="14.5" x14ac:dyDescent="0.35"/>
  <cols>
    <col min="1" max="1" width="10.1796875" bestFit="1" customWidth="1"/>
    <col min="2" max="2" width="32.81640625" bestFit="1" customWidth="1"/>
    <col min="3" max="3" width="11" bestFit="1" customWidth="1"/>
    <col min="4" max="4" width="13.26953125" bestFit="1" customWidth="1"/>
  </cols>
  <sheetData>
    <row r="1" spans="1:4" x14ac:dyDescent="0.35">
      <c r="A1" t="s">
        <v>4</v>
      </c>
      <c r="B1" t="s">
        <v>36</v>
      </c>
      <c r="C1" t="s">
        <v>37</v>
      </c>
      <c r="D1" t="s">
        <v>38</v>
      </c>
    </row>
    <row r="2" spans="1:4" x14ac:dyDescent="0.35">
      <c r="A2" t="s">
        <v>39</v>
      </c>
      <c r="B2">
        <f>COUNTIF('copy of data'!E2:E31, "Female")</f>
        <v>12</v>
      </c>
      <c r="C2">
        <f>COUNTIF('copy of data'!$E$2:$E$31, 'copy of data'!E3)</f>
        <v>12</v>
      </c>
    </row>
    <row r="3" spans="1:4" x14ac:dyDescent="0.35">
      <c r="A3" t="s">
        <v>12</v>
      </c>
      <c r="B3">
        <f>COUNTIF('copy of data'!E2:E31, "Male")</f>
        <v>18</v>
      </c>
      <c r="C3">
        <f>COUNTIF('copy of data'!$E$2:$E$31, 'copy of data'!E2)</f>
        <v>18</v>
      </c>
    </row>
    <row r="5" spans="1:4" x14ac:dyDescent="0.35">
      <c r="A5" t="s">
        <v>7</v>
      </c>
      <c r="B5" t="s">
        <v>36</v>
      </c>
    </row>
    <row r="6" spans="1:4" x14ac:dyDescent="0.35">
      <c r="A6" t="s">
        <v>13</v>
      </c>
      <c r="B6">
        <f>COUNTIF('copy of data'!$H$2:$H$31,'frequency table'!A6)</f>
        <v>3</v>
      </c>
    </row>
    <row r="7" spans="1:4" x14ac:dyDescent="0.35">
      <c r="A7" t="s">
        <v>16</v>
      </c>
      <c r="B7">
        <f>COUNTIF('copy of data'!$H$2:$H$31, 'copy of data'!H3)</f>
        <v>3</v>
      </c>
    </row>
    <row r="8" spans="1:4" x14ac:dyDescent="0.35">
      <c r="A8" t="s">
        <v>18</v>
      </c>
      <c r="B8">
        <f>COUNTIF('copy of data'!$H$2:$H$31, 'copy of data'!H4)</f>
        <v>3</v>
      </c>
    </row>
    <row r="9" spans="1:4" x14ac:dyDescent="0.35">
      <c r="A9" t="s">
        <v>30</v>
      </c>
      <c r="B9">
        <f>COUNTIF('copy of data'!$H$2:$H$31, 'copy of data'!H17)</f>
        <v>4</v>
      </c>
    </row>
    <row r="10" spans="1:4" x14ac:dyDescent="0.35">
      <c r="A10" t="s">
        <v>23</v>
      </c>
      <c r="B10">
        <f>COUNTIF('copy of data'!$H$2:$H$31, 'copy of data'!H16)</f>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copy of data</vt:lpstr>
      <vt:lpstr>Sheet5</vt:lpstr>
      <vt:lpstr>Sheet7</vt:lpstr>
      <vt:lpstr>Sheet1</vt:lpstr>
      <vt:lpstr>vlookup</vt:lpstr>
      <vt:lpstr>frequency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zach132345@gmail.com</cp:lastModifiedBy>
  <cp:revision/>
  <dcterms:created xsi:type="dcterms:W3CDTF">2026-02-23T06:23:10Z</dcterms:created>
  <dcterms:modified xsi:type="dcterms:W3CDTF">2026-03-09T07:56:32Z</dcterms:modified>
  <cp:category/>
  <cp:contentStatus/>
</cp:coreProperties>
</file>